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50" windowWidth="15480" windowHeight="8415"/>
  </bookViews>
  <sheets>
    <sheet name="fill the table" sheetId="2" r:id="rId1"/>
    <sheet name="IOcoef" sheetId="3" r:id="rId2"/>
    <sheet name="Leontief matrix" sheetId="4" r:id="rId3"/>
    <sheet name="indeces" sheetId="6" r:id="rId4"/>
  </sheets>
  <calcPr calcId="125725"/>
</workbook>
</file>

<file path=xl/calcChain.xml><?xml version="1.0" encoding="utf-8"?>
<calcChain xmlns="http://schemas.openxmlformats.org/spreadsheetml/2006/main">
  <c r="H48" i="6" a="1"/>
  <c r="H48"/>
  <c r="H49"/>
  <c r="H51"/>
  <c r="E49"/>
  <c r="E50"/>
  <c r="E51"/>
  <c r="E48"/>
  <c r="C48" a="1"/>
  <c r="C48"/>
  <c r="C49"/>
  <c r="C51"/>
  <c r="C43" a="1"/>
  <c r="C43"/>
  <c r="C44"/>
  <c r="C46"/>
  <c r="C38" a="1"/>
  <c r="C38"/>
  <c r="C39"/>
  <c r="C41"/>
  <c r="C28" a="1"/>
  <c r="C28"/>
  <c r="D28"/>
  <c r="F28"/>
  <c r="D29"/>
  <c r="F29"/>
  <c r="D30"/>
  <c r="F30"/>
  <c r="D31"/>
  <c r="F31"/>
  <c r="K28" a="1"/>
  <c r="K28"/>
  <c r="L28"/>
  <c r="N28"/>
  <c r="L29"/>
  <c r="N29"/>
  <c r="L30"/>
  <c r="N30"/>
  <c r="L31"/>
  <c r="N31"/>
  <c r="K23"/>
  <c r="L23"/>
  <c r="M23"/>
  <c r="N23"/>
  <c r="K24"/>
  <c r="L24"/>
  <c r="M24"/>
  <c r="N24"/>
  <c r="K25"/>
  <c r="L25"/>
  <c r="M25"/>
  <c r="N25"/>
  <c r="K26"/>
  <c r="L26"/>
  <c r="M26"/>
  <c r="N26"/>
  <c r="K18" a="1"/>
  <c r="K18"/>
  <c r="L18"/>
  <c r="N18"/>
  <c r="L19"/>
  <c r="N19"/>
  <c r="L20"/>
  <c r="N20"/>
  <c r="L21"/>
  <c r="N21"/>
  <c r="N27" i="4"/>
  <c r="P27"/>
  <c r="P19"/>
  <c r="H15"/>
  <c r="I15"/>
  <c r="J15"/>
  <c r="H16"/>
  <c r="I16"/>
  <c r="J16"/>
  <c r="H17"/>
  <c r="I17"/>
  <c r="J17"/>
  <c r="H18"/>
  <c r="I18"/>
  <c r="J18"/>
  <c r="G16"/>
  <c r="G17"/>
  <c r="G18"/>
  <c r="G15"/>
  <c r="D24" i="2"/>
  <c r="F24"/>
  <c r="E24"/>
  <c r="C24"/>
  <c r="H21"/>
  <c r="H20"/>
  <c r="H19"/>
  <c r="H18"/>
  <c r="F24" i="3"/>
  <c r="E22"/>
  <c r="F22"/>
  <c r="G22"/>
  <c r="E23"/>
  <c r="F23"/>
  <c r="G23"/>
  <c r="E24"/>
  <c r="G24"/>
  <c r="D23"/>
  <c r="D24"/>
  <c r="D22"/>
  <c r="F10"/>
  <c r="D19"/>
  <c r="E19"/>
  <c r="F19"/>
  <c r="G19"/>
  <c r="D20"/>
  <c r="E20"/>
  <c r="F20"/>
  <c r="G20"/>
  <c r="D21"/>
  <c r="E21"/>
  <c r="F21"/>
  <c r="G21"/>
  <c r="E18"/>
  <c r="F18"/>
  <c r="G18"/>
  <c r="D18"/>
  <c r="G10"/>
  <c r="E10"/>
  <c r="D10"/>
  <c r="I7"/>
  <c r="I6"/>
  <c r="I5"/>
  <c r="I4"/>
  <c r="H50" i="6"/>
  <c r="C50"/>
  <c r="C45"/>
  <c r="C40"/>
  <c r="M31"/>
  <c r="K31"/>
  <c r="M30"/>
  <c r="K30"/>
  <c r="M29"/>
  <c r="K29"/>
  <c r="M28"/>
  <c r="K33" a="1"/>
  <c r="E31"/>
  <c r="C31"/>
  <c r="E30"/>
  <c r="C30"/>
  <c r="E29"/>
  <c r="C29"/>
  <c r="E28"/>
  <c r="M21"/>
  <c r="K21"/>
  <c r="M20"/>
  <c r="K20"/>
  <c r="M19"/>
  <c r="K19"/>
  <c r="M18"/>
  <c r="K33"/>
  <c r="L33"/>
  <c r="L34"/>
  <c r="L35"/>
  <c r="L36"/>
  <c r="N33"/>
  <c r="N34"/>
  <c r="N35"/>
  <c r="N36"/>
  <c r="K36"/>
  <c r="K35"/>
  <c r="K34"/>
  <c r="M36"/>
  <c r="M35"/>
  <c r="M34"/>
  <c r="M33"/>
  <c r="G23" i="4" a="1"/>
  <c r="H24"/>
  <c r="N15" a="1"/>
  <c r="G25"/>
  <c r="H25"/>
  <c r="I23"/>
  <c r="I25"/>
  <c r="J23"/>
  <c r="J25"/>
  <c r="G23"/>
  <c r="G26"/>
  <c r="H23"/>
  <c r="H26"/>
  <c r="I24"/>
  <c r="I26"/>
  <c r="J24"/>
  <c r="J26"/>
  <c r="G24"/>
  <c r="N17"/>
  <c r="N15"/>
  <c r="N19"/>
  <c r="N16"/>
  <c r="N18"/>
  <c r="N23" a="1"/>
  <c r="N25"/>
  <c r="N23"/>
  <c r="N24"/>
  <c r="N26"/>
</calcChain>
</file>

<file path=xl/comments1.xml><?xml version="1.0" encoding="utf-8"?>
<comments xmlns="http://schemas.openxmlformats.org/spreadsheetml/2006/main">
  <authors>
    <author>Ingvar</author>
  </authors>
  <commentList>
    <comment ref="D18" authorId="0">
      <text>
        <r>
          <rPr>
            <b/>
            <sz val="9"/>
            <color indexed="81"/>
            <rFont val="Tahoma"/>
            <family val="2"/>
            <charset val="238"/>
          </rPr>
          <t>A</t>
        </r>
      </text>
    </comment>
    <comment ref="D22" authorId="0">
      <text>
        <r>
          <rPr>
            <b/>
            <sz val="9"/>
            <color indexed="81"/>
            <rFont val="Tahoma"/>
            <family val="2"/>
            <charset val="238"/>
          </rPr>
          <t>M</t>
        </r>
      </text>
    </comment>
  </commentList>
</comments>
</file>

<file path=xl/comments2.xml><?xml version="1.0" encoding="utf-8"?>
<comments xmlns="http://schemas.openxmlformats.org/spreadsheetml/2006/main">
  <authors>
    <author>Ingvar</author>
  </authors>
  <commentList>
    <comment ref="C3" authorId="0">
      <text>
        <r>
          <rPr>
            <b/>
            <sz val="9"/>
            <color indexed="81"/>
            <rFont val="Tahoma"/>
            <family val="2"/>
            <charset val="238"/>
          </rPr>
          <t>A</t>
        </r>
      </text>
    </comment>
    <comment ref="C7" authorId="0">
      <text>
        <r>
          <rPr>
            <b/>
            <sz val="9"/>
            <color indexed="81"/>
            <rFont val="Tahoma"/>
            <family val="2"/>
            <charset val="238"/>
          </rPr>
          <t>M</t>
        </r>
      </text>
    </comment>
  </commentList>
</comments>
</file>

<file path=xl/sharedStrings.xml><?xml version="1.0" encoding="utf-8"?>
<sst xmlns="http://schemas.openxmlformats.org/spreadsheetml/2006/main" count="135" uniqueCount="48">
  <si>
    <t>…</t>
  </si>
  <si>
    <t>E-A</t>
  </si>
  <si>
    <t>X</t>
  </si>
  <si>
    <r>
      <t>Brewery</t>
    </r>
    <r>
      <rPr>
        <b/>
        <sz val="12"/>
        <color indexed="8"/>
        <rFont val="Calibri"/>
        <family val="2"/>
        <charset val="238"/>
      </rPr>
      <t xml:space="preserve"> </t>
    </r>
  </si>
  <si>
    <r>
      <t>Butcher</t>
    </r>
    <r>
      <rPr>
        <b/>
        <sz val="12"/>
        <color indexed="8"/>
        <rFont val="Calibri"/>
        <family val="2"/>
        <charset val="238"/>
      </rPr>
      <t xml:space="preserve"> </t>
    </r>
  </si>
  <si>
    <r>
      <t>Greengrocer</t>
    </r>
    <r>
      <rPr>
        <b/>
        <sz val="12"/>
        <color indexed="8"/>
        <rFont val="Calibri"/>
        <family val="2"/>
        <charset val="238"/>
      </rPr>
      <t xml:space="preserve"> </t>
    </r>
  </si>
  <si>
    <r>
      <t>Restaurant</t>
    </r>
    <r>
      <rPr>
        <b/>
        <sz val="12"/>
        <color indexed="8"/>
        <rFont val="Calibri"/>
        <family val="2"/>
        <charset val="238"/>
      </rPr>
      <t xml:space="preserve"> </t>
    </r>
  </si>
  <si>
    <r>
      <t>Final production/uses</t>
    </r>
    <r>
      <rPr>
        <b/>
        <sz val="12"/>
        <color indexed="8"/>
        <rFont val="Calibri"/>
        <family val="2"/>
        <charset val="238"/>
      </rPr>
      <t xml:space="preserve"> </t>
    </r>
  </si>
  <si>
    <r>
      <t>Total uses/outputs</t>
    </r>
    <r>
      <rPr>
        <b/>
        <sz val="12"/>
        <color indexed="8"/>
        <rFont val="Calibri"/>
        <family val="2"/>
        <charset val="238"/>
      </rPr>
      <t xml:space="preserve"> </t>
    </r>
  </si>
  <si>
    <r>
      <t>Restaourant</t>
    </r>
    <r>
      <rPr>
        <b/>
        <sz val="12"/>
        <color indexed="8"/>
        <rFont val="Calibri"/>
        <family val="2"/>
        <charset val="238"/>
      </rPr>
      <t xml:space="preserve"> </t>
    </r>
  </si>
  <si>
    <r>
      <t>Wages</t>
    </r>
    <r>
      <rPr>
        <b/>
        <sz val="12"/>
        <color indexed="8"/>
        <rFont val="Calibri"/>
        <family val="2"/>
        <charset val="238"/>
      </rPr>
      <t xml:space="preserve"> </t>
    </r>
  </si>
  <si>
    <r>
      <t>Material inputs</t>
    </r>
    <r>
      <rPr>
        <b/>
        <sz val="12"/>
        <color indexed="8"/>
        <rFont val="Calibri"/>
        <family val="2"/>
        <charset val="238"/>
      </rPr>
      <t xml:space="preserve"> </t>
    </r>
  </si>
  <si>
    <r>
      <t>EBIT</t>
    </r>
    <r>
      <rPr>
        <b/>
        <sz val="12"/>
        <color indexed="8"/>
        <rFont val="Calibri"/>
        <family val="2"/>
        <charset val="238"/>
      </rPr>
      <t xml:space="preserve"> </t>
    </r>
  </si>
  <si>
    <r>
      <t>Total inputs</t>
    </r>
    <r>
      <rPr>
        <b/>
        <sz val="12"/>
        <color indexed="8"/>
        <rFont val="Calibri"/>
        <family val="2"/>
        <charset val="238"/>
      </rPr>
      <t xml:space="preserve"> </t>
    </r>
  </si>
  <si>
    <t xml:space="preserve">Brewery </t>
  </si>
  <si>
    <t xml:space="preserve">Butcher </t>
  </si>
  <si>
    <t xml:space="preserve">Greengrocer </t>
  </si>
  <si>
    <t xml:space="preserve">Restaurant </t>
  </si>
  <si>
    <t xml:space="preserve">Final production/uses </t>
  </si>
  <si>
    <t xml:space="preserve">Total uses/outputs </t>
  </si>
  <si>
    <t xml:space="preserve">Restaourant </t>
  </si>
  <si>
    <t xml:space="preserve">Wages </t>
  </si>
  <si>
    <t xml:space="preserve">Material inputs </t>
  </si>
  <si>
    <t xml:space="preserve">EBIT </t>
  </si>
  <si>
    <t xml:space="preserve">Total inputs </t>
  </si>
  <si>
    <t>X'</t>
  </si>
  <si>
    <t>Y</t>
  </si>
  <si>
    <t>Y'</t>
  </si>
  <si>
    <r>
      <t>(E-A)</t>
    </r>
    <r>
      <rPr>
        <b/>
        <vertAlign val="superscript"/>
        <sz val="11"/>
        <color indexed="8"/>
        <rFont val="Calibri"/>
        <family val="2"/>
        <charset val="238"/>
      </rPr>
      <t>-1</t>
    </r>
  </si>
  <si>
    <t>^X</t>
  </si>
  <si>
    <t>A</t>
  </si>
  <si>
    <t>^W</t>
  </si>
  <si>
    <t>^M</t>
  </si>
  <si>
    <t>^E</t>
  </si>
  <si>
    <t>I</t>
  </si>
  <si>
    <r>
      <t>A</t>
    </r>
    <r>
      <rPr>
        <vertAlign val="superscript"/>
        <sz val="11"/>
        <color indexed="8"/>
        <rFont val="Calibri"/>
        <family val="2"/>
        <charset val="238"/>
      </rPr>
      <t>T</t>
    </r>
  </si>
  <si>
    <r>
      <t>I - A</t>
    </r>
    <r>
      <rPr>
        <vertAlign val="superscript"/>
        <sz val="11"/>
        <color indexed="8"/>
        <rFont val="Calibri"/>
        <family val="2"/>
        <charset val="238"/>
      </rPr>
      <t>T</t>
    </r>
  </si>
  <si>
    <r>
      <t>(I - A</t>
    </r>
    <r>
      <rPr>
        <vertAlign val="superscript"/>
        <sz val="11"/>
        <color indexed="8"/>
        <rFont val="Calibri"/>
        <family val="2"/>
        <charset val="238"/>
      </rPr>
      <t>T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perscript"/>
        <sz val="11"/>
        <color indexed="8"/>
        <rFont val="Calibri"/>
        <family val="2"/>
        <charset val="238"/>
      </rPr>
      <t>-1</t>
    </r>
  </si>
  <si>
    <r>
      <t>^X</t>
    </r>
    <r>
      <rPr>
        <vertAlign val="superscript"/>
        <sz val="11"/>
        <color indexed="8"/>
        <rFont val="Calibri"/>
        <family val="2"/>
        <charset val="238"/>
      </rPr>
      <t>-1</t>
    </r>
  </si>
  <si>
    <r>
      <t>(I - A</t>
    </r>
    <r>
      <rPr>
        <vertAlign val="superscript"/>
        <sz val="11"/>
        <color indexed="8"/>
        <rFont val="Calibri"/>
        <family val="2"/>
        <charset val="238"/>
      </rPr>
      <t>T</t>
    </r>
    <r>
      <rPr>
        <sz val="11"/>
        <color theme="1"/>
        <rFont val="Calibri"/>
        <family val="2"/>
        <charset val="238"/>
        <scheme val="minor"/>
      </rPr>
      <t>)</t>
    </r>
    <r>
      <rPr>
        <vertAlign val="superscript"/>
        <sz val="11"/>
        <color indexed="8"/>
        <rFont val="Calibri"/>
        <family val="2"/>
        <charset val="238"/>
      </rPr>
      <t>-1</t>
    </r>
    <r>
      <rPr>
        <b/>
        <i/>
        <sz val="11"/>
        <color indexed="8"/>
        <rFont val="Calibri"/>
        <family val="2"/>
        <charset val="238"/>
      </rPr>
      <t>^X</t>
    </r>
    <r>
      <rPr>
        <vertAlign val="superscript"/>
        <sz val="11"/>
        <color indexed="8"/>
        <rFont val="Calibri"/>
        <family val="2"/>
        <charset val="238"/>
      </rPr>
      <t>-1</t>
    </r>
  </si>
  <si>
    <r>
      <rPr>
        <b/>
        <sz val="11"/>
        <color indexed="8"/>
        <rFont val="Calibri"/>
        <family val="2"/>
        <charset val="238"/>
      </rPr>
      <t>I</t>
    </r>
    <r>
      <rPr>
        <vertAlign val="subscript"/>
        <sz val="11"/>
        <color indexed="8"/>
        <rFont val="Calibri"/>
        <family val="2"/>
        <charset val="238"/>
      </rPr>
      <t>w</t>
    </r>
  </si>
  <si>
    <r>
      <rPr>
        <b/>
        <sz val="11"/>
        <color indexed="8"/>
        <rFont val="Calibri"/>
        <family val="2"/>
        <charset val="238"/>
      </rPr>
      <t>I</t>
    </r>
    <r>
      <rPr>
        <vertAlign val="subscript"/>
        <sz val="11"/>
        <color indexed="8"/>
        <rFont val="Calibri"/>
        <family val="2"/>
        <charset val="238"/>
      </rPr>
      <t>e</t>
    </r>
  </si>
  <si>
    <r>
      <rPr>
        <b/>
        <sz val="11"/>
        <color indexed="8"/>
        <rFont val="Calibri"/>
        <family val="2"/>
        <charset val="238"/>
      </rPr>
      <t>I</t>
    </r>
    <r>
      <rPr>
        <vertAlign val="subscript"/>
        <sz val="11"/>
        <color indexed="8"/>
        <rFont val="Calibri"/>
        <family val="2"/>
        <charset val="238"/>
      </rPr>
      <t>m</t>
    </r>
  </si>
  <si>
    <r>
      <t>^WI</t>
    </r>
    <r>
      <rPr>
        <vertAlign val="subscript"/>
        <sz val="11"/>
        <color indexed="8"/>
        <rFont val="Calibri"/>
        <family val="2"/>
        <charset val="238"/>
      </rPr>
      <t>w</t>
    </r>
  </si>
  <si>
    <r>
      <t>^MI</t>
    </r>
    <r>
      <rPr>
        <b/>
        <i/>
        <vertAlign val="subscript"/>
        <sz val="11"/>
        <color indexed="8"/>
        <rFont val="Calibri"/>
        <family val="2"/>
        <charset val="238"/>
      </rPr>
      <t>m</t>
    </r>
  </si>
  <si>
    <r>
      <t>^EI</t>
    </r>
    <r>
      <rPr>
        <vertAlign val="subscript"/>
        <sz val="11"/>
        <color indexed="8"/>
        <rFont val="Calibri"/>
        <family val="2"/>
        <charset val="238"/>
      </rPr>
      <t>e</t>
    </r>
  </si>
  <si>
    <r>
      <t>I</t>
    </r>
    <r>
      <rPr>
        <vertAlign val="subscript"/>
        <sz val="11"/>
        <color indexed="8"/>
        <rFont val="Calibri"/>
        <family val="2"/>
        <charset val="238"/>
      </rPr>
      <t>p</t>
    </r>
  </si>
  <si>
    <t>SUM</t>
  </si>
</sst>
</file>

<file path=xl/styles.xml><?xml version="1.0" encoding="utf-8"?>
<styleSheet xmlns="http://schemas.openxmlformats.org/spreadsheetml/2006/main">
  <numFmts count="3">
    <numFmt numFmtId="168" formatCode="#&quot; &quot;???/???"/>
    <numFmt numFmtId="169" formatCode="0.000000"/>
    <numFmt numFmtId="170" formatCode="0.00000"/>
  </numFmts>
  <fonts count="14">
    <font>
      <sz val="11"/>
      <color theme="1"/>
      <name val="Calibri"/>
      <family val="2"/>
      <charset val="238"/>
      <scheme val="minor"/>
    </font>
    <font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8"/>
      <name val="Calibri"/>
      <family val="2"/>
      <charset val="238"/>
    </font>
    <font>
      <b/>
      <vertAlign val="superscript"/>
      <sz val="11"/>
      <color indexed="8"/>
      <name val="Calibri"/>
      <family val="2"/>
      <charset val="238"/>
    </font>
    <font>
      <b/>
      <sz val="11"/>
      <color indexed="8"/>
      <name val="Calibri"/>
      <family val="2"/>
      <charset val="238"/>
    </font>
    <font>
      <b/>
      <sz val="12"/>
      <color indexed="8"/>
      <name val="Calibri"/>
      <family val="2"/>
      <charset val="238"/>
    </font>
    <font>
      <b/>
      <i/>
      <sz val="11"/>
      <color indexed="8"/>
      <name val="Calibri"/>
      <family val="2"/>
      <charset val="238"/>
    </font>
    <font>
      <vertAlign val="superscript"/>
      <sz val="11"/>
      <color indexed="8"/>
      <name val="Calibri"/>
      <family val="2"/>
      <charset val="238"/>
    </font>
    <font>
      <vertAlign val="subscript"/>
      <sz val="11"/>
      <color indexed="8"/>
      <name val="Calibri"/>
      <family val="2"/>
      <charset val="238"/>
    </font>
    <font>
      <b/>
      <i/>
      <vertAlign val="subscript"/>
      <sz val="11"/>
      <color indexed="8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b/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2" fillId="0" borderId="0" xfId="0" applyFont="1"/>
    <xf numFmtId="0" fontId="0" fillId="0" borderId="0" xfId="0" applyAlignment="1">
      <alignment horizontal="right"/>
    </xf>
    <xf numFmtId="0" fontId="0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0" fillId="0" borderId="9" xfId="0" applyFont="1" applyBorder="1" applyAlignment="1">
      <alignment horizontal="right"/>
    </xf>
    <xf numFmtId="0" fontId="0" fillId="0" borderId="1" xfId="0" applyFont="1" applyBorder="1" applyAlignment="1">
      <alignment horizontal="right"/>
    </xf>
    <xf numFmtId="0" fontId="0" fillId="0" borderId="6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Font="1" applyBorder="1" applyAlignment="1">
      <alignment horizontal="right"/>
    </xf>
    <xf numFmtId="0" fontId="1" fillId="0" borderId="0" xfId="0" applyFont="1" applyBorder="1" applyAlignment="1">
      <alignment horizontal="right"/>
    </xf>
    <xf numFmtId="0" fontId="0" fillId="0" borderId="7" xfId="0" applyFont="1" applyBorder="1" applyAlignment="1">
      <alignment horizontal="right"/>
    </xf>
    <xf numFmtId="0" fontId="0" fillId="0" borderId="2" xfId="0" applyFont="1" applyBorder="1" applyAlignment="1">
      <alignment horizontal="right"/>
    </xf>
    <xf numFmtId="0" fontId="1" fillId="0" borderId="7" xfId="0" applyFont="1" applyBorder="1" applyAlignment="1">
      <alignment horizontal="right" vertical="center"/>
    </xf>
    <xf numFmtId="0" fontId="0" fillId="0" borderId="4" xfId="0" applyFont="1" applyBorder="1" applyAlignment="1">
      <alignment horizontal="right"/>
    </xf>
    <xf numFmtId="0" fontId="0" fillId="0" borderId="5" xfId="0" applyFont="1" applyBorder="1" applyAlignment="1">
      <alignment horizontal="right"/>
    </xf>
    <xf numFmtId="0" fontId="0" fillId="0" borderId="8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3" xfId="0" applyFont="1" applyBorder="1" applyAlignment="1">
      <alignment horizontal="right"/>
    </xf>
    <xf numFmtId="0" fontId="0" fillId="0" borderId="11" xfId="0" applyFont="1" applyBorder="1" applyAlignment="1">
      <alignment horizontal="right"/>
    </xf>
    <xf numFmtId="0" fontId="12" fillId="0" borderId="0" xfId="0" applyFont="1" applyAlignment="1">
      <alignment horizontal="center"/>
    </xf>
    <xf numFmtId="0" fontId="12" fillId="0" borderId="6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0" fillId="0" borderId="0" xfId="0" applyBorder="1" applyAlignment="1">
      <alignment horizontal="right"/>
    </xf>
    <xf numFmtId="0" fontId="2" fillId="0" borderId="2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68" fontId="0" fillId="0" borderId="9" xfId="0" applyNumberFormat="1" applyBorder="1"/>
    <xf numFmtId="168" fontId="0" fillId="0" borderId="1" xfId="0" applyNumberFormat="1" applyBorder="1"/>
    <xf numFmtId="168" fontId="0" fillId="0" borderId="6" xfId="0" applyNumberFormat="1" applyBorder="1"/>
    <xf numFmtId="168" fontId="0" fillId="0" borderId="2" xfId="0" applyNumberFormat="1" applyBorder="1"/>
    <xf numFmtId="168" fontId="0" fillId="0" borderId="0" xfId="0" applyNumberFormat="1" applyBorder="1"/>
    <xf numFmtId="168" fontId="0" fillId="0" borderId="7" xfId="0" applyNumberFormat="1" applyBorder="1"/>
    <xf numFmtId="168" fontId="0" fillId="0" borderId="4" xfId="0" applyNumberFormat="1" applyBorder="1"/>
    <xf numFmtId="168" fontId="0" fillId="0" borderId="5" xfId="0" applyNumberFormat="1" applyBorder="1"/>
    <xf numFmtId="168" fontId="0" fillId="0" borderId="8" xfId="0" applyNumberFormat="1" applyBorder="1"/>
    <xf numFmtId="0" fontId="0" fillId="0" borderId="0" xfId="0" applyFont="1"/>
    <xf numFmtId="0" fontId="0" fillId="0" borderId="12" xfId="0" applyBorder="1"/>
    <xf numFmtId="0" fontId="13" fillId="0" borderId="0" xfId="0" applyFont="1"/>
    <xf numFmtId="0" fontId="0" fillId="0" borderId="9" xfId="0" applyNumberFormat="1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2" xfId="0" applyNumberFormat="1" applyBorder="1"/>
    <xf numFmtId="0" fontId="0" fillId="0" borderId="0" xfId="0" applyNumberFormat="1" applyBorder="1"/>
    <xf numFmtId="0" fontId="0" fillId="0" borderId="7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8" xfId="0" applyNumberFormat="1" applyBorder="1"/>
    <xf numFmtId="169" fontId="0" fillId="0" borderId="9" xfId="0" applyNumberFormat="1" applyBorder="1"/>
    <xf numFmtId="169" fontId="0" fillId="0" borderId="1" xfId="0" applyNumberFormat="1" applyBorder="1"/>
    <xf numFmtId="169" fontId="0" fillId="0" borderId="6" xfId="0" applyNumberFormat="1" applyBorder="1"/>
    <xf numFmtId="169" fontId="0" fillId="0" borderId="2" xfId="0" applyNumberFormat="1" applyBorder="1"/>
    <xf numFmtId="169" fontId="0" fillId="0" borderId="0" xfId="0" applyNumberFormat="1" applyBorder="1"/>
    <xf numFmtId="169" fontId="0" fillId="0" borderId="7" xfId="0" applyNumberFormat="1" applyBorder="1"/>
    <xf numFmtId="169" fontId="0" fillId="0" borderId="4" xfId="0" applyNumberFormat="1" applyBorder="1"/>
    <xf numFmtId="169" fontId="0" fillId="0" borderId="5" xfId="0" applyNumberFormat="1" applyBorder="1"/>
    <xf numFmtId="169" fontId="0" fillId="0" borderId="8" xfId="0" applyNumberFormat="1" applyBorder="1"/>
    <xf numFmtId="170" fontId="0" fillId="0" borderId="9" xfId="0" applyNumberFormat="1" applyBorder="1"/>
    <xf numFmtId="170" fontId="0" fillId="0" borderId="1" xfId="0" applyNumberFormat="1" applyBorder="1"/>
    <xf numFmtId="170" fontId="0" fillId="0" borderId="6" xfId="0" applyNumberFormat="1" applyBorder="1"/>
    <xf numFmtId="170" fontId="0" fillId="0" borderId="2" xfId="0" applyNumberFormat="1" applyBorder="1"/>
    <xf numFmtId="170" fontId="0" fillId="0" borderId="0" xfId="0" applyNumberFormat="1" applyBorder="1"/>
    <xf numFmtId="170" fontId="0" fillId="0" borderId="7" xfId="0" applyNumberFormat="1" applyBorder="1"/>
    <xf numFmtId="170" fontId="0" fillId="0" borderId="4" xfId="0" applyNumberFormat="1" applyBorder="1"/>
    <xf numFmtId="170" fontId="0" fillId="0" borderId="5" xfId="0" applyNumberFormat="1" applyBorder="1"/>
    <xf numFmtId="170" fontId="0" fillId="0" borderId="8" xfId="0" applyNumberFormat="1" applyBorder="1"/>
    <xf numFmtId="0" fontId="13" fillId="0" borderId="0" xfId="0" applyFont="1" applyBorder="1" applyAlignment="1">
      <alignment horizontal="right"/>
    </xf>
    <xf numFmtId="0" fontId="0" fillId="0" borderId="10" xfId="0" applyBorder="1"/>
    <xf numFmtId="0" fontId="0" fillId="0" borderId="11" xfId="0" applyBorder="1"/>
    <xf numFmtId="0" fontId="12" fillId="0" borderId="10" xfId="0" applyFont="1" applyBorder="1"/>
    <xf numFmtId="0" fontId="12" fillId="0" borderId="3" xfId="0" applyFont="1" applyBorder="1"/>
    <xf numFmtId="0" fontId="12" fillId="0" borderId="11" xfId="0" applyFont="1" applyBorder="1"/>
  </cellXfs>
  <cellStyles count="1">
    <cellStyle name="normální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200025</xdr:colOff>
      <xdr:row>48</xdr:row>
      <xdr:rowOff>0</xdr:rowOff>
    </xdr:from>
    <xdr:to>
      <xdr:col>14</xdr:col>
      <xdr:colOff>161925</xdr:colOff>
      <xdr:row>49</xdr:row>
      <xdr:rowOff>123825</xdr:rowOff>
    </xdr:to>
    <xdr:pic>
      <xdr:nvPicPr>
        <xdr:cNvPr id="513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5076825" y="9429750"/>
          <a:ext cx="3838575" cy="314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Motiv sady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4:S25"/>
  <sheetViews>
    <sheetView tabSelected="1" zoomScaleNormal="100" workbookViewId="0">
      <selection activeCell="C23" sqref="C23:F23"/>
    </sheetView>
  </sheetViews>
  <sheetFormatPr defaultRowHeight="15"/>
  <sheetData>
    <row r="4" spans="2:19">
      <c r="C4" s="11" t="s">
        <v>14</v>
      </c>
      <c r="D4" s="11" t="s">
        <v>15</v>
      </c>
      <c r="E4" s="11" t="s">
        <v>16</v>
      </c>
      <c r="F4" s="11" t="s">
        <v>17</v>
      </c>
      <c r="G4" s="11" t="s">
        <v>18</v>
      </c>
      <c r="H4" s="11" t="s">
        <v>19</v>
      </c>
      <c r="I4" s="11"/>
      <c r="M4" s="11" t="s">
        <v>14</v>
      </c>
      <c r="N4" s="11" t="s">
        <v>15</v>
      </c>
      <c r="O4" s="11" t="s">
        <v>16</v>
      </c>
      <c r="P4" s="11" t="s">
        <v>17</v>
      </c>
      <c r="Q4" s="11" t="s">
        <v>18</v>
      </c>
      <c r="R4" s="11" t="s">
        <v>19</v>
      </c>
      <c r="S4" s="11"/>
    </row>
    <row r="5" spans="2:19">
      <c r="B5" s="11" t="s">
        <v>14</v>
      </c>
      <c r="C5" s="16">
        <v>10</v>
      </c>
      <c r="D5" s="17">
        <v>5</v>
      </c>
      <c r="E5" s="17">
        <v>2</v>
      </c>
      <c r="F5" s="32" t="s">
        <v>0</v>
      </c>
      <c r="G5" s="33" t="s">
        <v>0</v>
      </c>
      <c r="H5" s="11">
        <v>100</v>
      </c>
      <c r="L5" s="11" t="s">
        <v>14</v>
      </c>
      <c r="M5" s="16">
        <v>10</v>
      </c>
      <c r="N5" s="17">
        <v>5</v>
      </c>
      <c r="O5" s="17">
        <v>2</v>
      </c>
      <c r="P5" s="32" t="s">
        <v>0</v>
      </c>
      <c r="Q5" s="33" t="s">
        <v>0</v>
      </c>
      <c r="R5" s="11">
        <v>100</v>
      </c>
    </row>
    <row r="6" spans="2:19">
      <c r="B6" s="11" t="s">
        <v>15</v>
      </c>
      <c r="C6" s="38" t="s">
        <v>0</v>
      </c>
      <c r="D6" s="20">
        <v>10</v>
      </c>
      <c r="E6" s="21">
        <v>2</v>
      </c>
      <c r="F6" s="22">
        <v>45</v>
      </c>
      <c r="G6" s="29">
        <v>18</v>
      </c>
      <c r="H6" s="31" t="s">
        <v>0</v>
      </c>
      <c r="L6" s="11" t="s">
        <v>15</v>
      </c>
      <c r="M6" s="35" t="s">
        <v>0</v>
      </c>
      <c r="N6" s="20">
        <v>10</v>
      </c>
      <c r="O6" s="21">
        <v>2</v>
      </c>
      <c r="P6" s="22">
        <v>45</v>
      </c>
      <c r="Q6" s="29">
        <v>18</v>
      </c>
      <c r="R6" s="31" t="s">
        <v>0</v>
      </c>
    </row>
    <row r="7" spans="2:19">
      <c r="B7" s="11" t="s">
        <v>16</v>
      </c>
      <c r="C7" s="23">
        <v>2</v>
      </c>
      <c r="D7" s="37" t="s">
        <v>0</v>
      </c>
      <c r="E7" s="37" t="s">
        <v>0</v>
      </c>
      <c r="F7" s="24">
        <v>15</v>
      </c>
      <c r="G7" s="29">
        <v>5</v>
      </c>
      <c r="H7" s="11">
        <v>30</v>
      </c>
      <c r="L7" s="11" t="s">
        <v>16</v>
      </c>
      <c r="M7" s="23">
        <v>2</v>
      </c>
      <c r="N7" s="37" t="s">
        <v>0</v>
      </c>
      <c r="O7" s="37" t="s">
        <v>0</v>
      </c>
      <c r="P7" s="24">
        <v>15</v>
      </c>
      <c r="Q7" s="29">
        <v>5</v>
      </c>
      <c r="R7" s="11">
        <v>30</v>
      </c>
    </row>
    <row r="8" spans="2:19">
      <c r="B8" s="11" t="s">
        <v>20</v>
      </c>
      <c r="C8" s="25">
        <v>5</v>
      </c>
      <c r="D8" s="36" t="s">
        <v>0</v>
      </c>
      <c r="E8" s="26">
        <v>1</v>
      </c>
      <c r="F8" s="27">
        <v>5</v>
      </c>
      <c r="G8" s="30">
        <v>184</v>
      </c>
      <c r="H8" s="31" t="s">
        <v>0</v>
      </c>
      <c r="L8" s="11" t="s">
        <v>20</v>
      </c>
      <c r="M8" s="25">
        <v>5</v>
      </c>
      <c r="N8" s="36" t="s">
        <v>0</v>
      </c>
      <c r="O8" s="26">
        <v>1</v>
      </c>
      <c r="P8" s="27">
        <v>5</v>
      </c>
      <c r="Q8" s="30">
        <v>184</v>
      </c>
      <c r="R8" s="31" t="s">
        <v>0</v>
      </c>
    </row>
    <row r="9" spans="2:19">
      <c r="B9" s="11" t="s">
        <v>21</v>
      </c>
      <c r="C9" s="10">
        <v>5</v>
      </c>
      <c r="D9" s="39" t="s">
        <v>0</v>
      </c>
      <c r="E9" s="1">
        <v>3</v>
      </c>
      <c r="F9" s="6">
        <v>4</v>
      </c>
      <c r="L9" s="11" t="s">
        <v>21</v>
      </c>
      <c r="M9" s="10">
        <v>5</v>
      </c>
      <c r="N9" s="39" t="s">
        <v>0</v>
      </c>
      <c r="O9" s="1">
        <v>3</v>
      </c>
      <c r="P9" s="6">
        <v>4</v>
      </c>
    </row>
    <row r="10" spans="2:19">
      <c r="B10" s="11" t="s">
        <v>22</v>
      </c>
      <c r="C10" s="38" t="s">
        <v>0</v>
      </c>
      <c r="D10" s="7">
        <v>15</v>
      </c>
      <c r="E10" s="7">
        <v>3</v>
      </c>
      <c r="F10" s="8">
        <v>15</v>
      </c>
      <c r="L10" s="11" t="s">
        <v>22</v>
      </c>
      <c r="M10" s="38" t="s">
        <v>0</v>
      </c>
      <c r="N10" s="7">
        <v>15</v>
      </c>
      <c r="O10" s="7">
        <v>3</v>
      </c>
      <c r="P10" s="8">
        <v>15</v>
      </c>
    </row>
    <row r="11" spans="2:19">
      <c r="B11" s="11" t="s">
        <v>23</v>
      </c>
      <c r="C11" s="4">
        <v>53</v>
      </c>
      <c r="D11" s="5">
        <v>39</v>
      </c>
      <c r="E11" s="5">
        <v>13</v>
      </c>
      <c r="F11" s="9">
        <v>56</v>
      </c>
      <c r="L11" s="11" t="s">
        <v>23</v>
      </c>
      <c r="M11" s="4">
        <v>53</v>
      </c>
      <c r="N11" s="5">
        <v>39</v>
      </c>
      <c r="O11" s="5">
        <v>13</v>
      </c>
      <c r="P11" s="9">
        <v>56</v>
      </c>
    </row>
    <row r="12" spans="2:19">
      <c r="B12" s="11" t="s">
        <v>24</v>
      </c>
      <c r="C12" s="31" t="s">
        <v>0</v>
      </c>
      <c r="D12" s="11">
        <v>80</v>
      </c>
      <c r="E12" s="31" t="s">
        <v>0</v>
      </c>
      <c r="F12" s="11">
        <v>200</v>
      </c>
      <c r="L12" s="11" t="s">
        <v>24</v>
      </c>
      <c r="M12" s="31" t="s">
        <v>0</v>
      </c>
      <c r="N12" s="11">
        <v>80</v>
      </c>
      <c r="O12" s="31" t="s">
        <v>0</v>
      </c>
      <c r="P12" s="11">
        <v>200</v>
      </c>
    </row>
    <row r="14" spans="2:19" ht="15" customHeight="1"/>
    <row r="15" spans="2:19" ht="15" customHeight="1"/>
    <row r="16" spans="2:19" ht="15" customHeight="1"/>
    <row r="17" spans="2:18" ht="15" customHeight="1">
      <c r="C17" s="11" t="s">
        <v>3</v>
      </c>
      <c r="D17" s="11" t="s">
        <v>4</v>
      </c>
      <c r="E17" s="11" t="s">
        <v>5</v>
      </c>
      <c r="F17" s="11" t="s">
        <v>6</v>
      </c>
      <c r="G17" s="11" t="s">
        <v>7</v>
      </c>
      <c r="H17" s="11" t="s">
        <v>8</v>
      </c>
      <c r="I17" s="11"/>
      <c r="M17" s="11"/>
      <c r="N17" s="11"/>
      <c r="O17" s="11"/>
      <c r="P17" s="11"/>
      <c r="Q17" s="11"/>
      <c r="R17" s="11"/>
    </row>
    <row r="18" spans="2:18" ht="15" customHeight="1">
      <c r="B18" s="11" t="s">
        <v>3</v>
      </c>
      <c r="C18" s="16">
        <v>10</v>
      </c>
      <c r="D18" s="17">
        <v>5</v>
      </c>
      <c r="E18" s="17">
        <v>2</v>
      </c>
      <c r="F18" s="18">
        <v>60</v>
      </c>
      <c r="G18" s="28">
        <v>23</v>
      </c>
      <c r="H18" s="11">
        <f>+SUM(C18:G18)</f>
        <v>100</v>
      </c>
      <c r="L18" s="11"/>
      <c r="M18" s="13"/>
      <c r="N18" s="13"/>
      <c r="O18" s="13"/>
      <c r="P18" s="13"/>
      <c r="Q18" s="13"/>
      <c r="R18" s="11"/>
    </row>
    <row r="19" spans="2:18" ht="15" customHeight="1">
      <c r="B19" s="11" t="s">
        <v>4</v>
      </c>
      <c r="C19" s="19">
        <v>5</v>
      </c>
      <c r="D19" s="20">
        <v>10</v>
      </c>
      <c r="E19" s="21">
        <v>2</v>
      </c>
      <c r="F19" s="22">
        <v>45</v>
      </c>
      <c r="G19" s="29">
        <v>18</v>
      </c>
      <c r="H19" s="11">
        <f>+SUM(C19:G19)</f>
        <v>80</v>
      </c>
      <c r="L19" s="11"/>
      <c r="M19" s="14"/>
      <c r="N19" s="13"/>
      <c r="O19" s="14"/>
      <c r="P19" s="13"/>
      <c r="Q19" s="13"/>
      <c r="R19" s="11"/>
    </row>
    <row r="20" spans="2:18" ht="15" customHeight="1">
      <c r="B20" s="11" t="s">
        <v>5</v>
      </c>
      <c r="C20" s="23">
        <v>2</v>
      </c>
      <c r="D20" s="20">
        <v>2</v>
      </c>
      <c r="E20" s="20">
        <v>6</v>
      </c>
      <c r="F20" s="24">
        <v>15</v>
      </c>
      <c r="G20" s="29">
        <v>5</v>
      </c>
      <c r="H20" s="11">
        <f>+SUM(C20:G20)</f>
        <v>30</v>
      </c>
      <c r="L20" s="11"/>
      <c r="M20" s="13"/>
      <c r="N20" s="13"/>
      <c r="O20" s="13"/>
      <c r="P20" s="15"/>
      <c r="Q20" s="13"/>
      <c r="R20" s="11"/>
    </row>
    <row r="21" spans="2:18" ht="15" customHeight="1">
      <c r="B21" s="11" t="s">
        <v>9</v>
      </c>
      <c r="C21" s="25">
        <v>5</v>
      </c>
      <c r="D21" s="26">
        <v>5</v>
      </c>
      <c r="E21" s="26">
        <v>1</v>
      </c>
      <c r="F21" s="27">
        <v>5</v>
      </c>
      <c r="G21" s="30">
        <v>184</v>
      </c>
      <c r="H21" s="11">
        <f>+SUM(C21:G21)</f>
        <v>200</v>
      </c>
      <c r="L21" s="11"/>
      <c r="M21" s="13"/>
      <c r="N21" s="13"/>
      <c r="O21" s="13"/>
      <c r="P21" s="13"/>
      <c r="Q21" s="13"/>
      <c r="R21" s="11"/>
    </row>
    <row r="22" spans="2:18" ht="15" customHeight="1">
      <c r="B22" s="11" t="s">
        <v>10</v>
      </c>
      <c r="C22" s="10">
        <v>5</v>
      </c>
      <c r="D22" s="1">
        <v>4</v>
      </c>
      <c r="E22" s="1">
        <v>3</v>
      </c>
      <c r="F22" s="6">
        <v>4</v>
      </c>
      <c r="L22" s="11"/>
    </row>
    <row r="23" spans="2:18" ht="15.75">
      <c r="B23" s="11" t="s">
        <v>11</v>
      </c>
      <c r="C23" s="2">
        <v>20</v>
      </c>
      <c r="D23" s="7">
        <v>15</v>
      </c>
      <c r="E23" s="7">
        <v>3</v>
      </c>
      <c r="F23" s="8">
        <v>15</v>
      </c>
      <c r="L23" s="11"/>
    </row>
    <row r="24" spans="2:18" ht="15.75">
      <c r="B24" s="11" t="s">
        <v>12</v>
      </c>
      <c r="C24" s="4">
        <f>+C25-C23-C22-C21-C20-C19-C18</f>
        <v>53</v>
      </c>
      <c r="D24" s="5">
        <f>+D25-D23-D22-D21-D20-D19-D18</f>
        <v>39</v>
      </c>
      <c r="E24" s="5">
        <f>+E25-E23-E22-E21-E20-E19-E18</f>
        <v>13</v>
      </c>
      <c r="F24" s="9">
        <f>+F25-F23-F22-F21-F20-F19-F18</f>
        <v>56</v>
      </c>
      <c r="L24" s="11"/>
    </row>
    <row r="25" spans="2:18" ht="15.75">
      <c r="B25" s="11" t="s">
        <v>13</v>
      </c>
      <c r="C25" s="11">
        <v>100</v>
      </c>
      <c r="D25" s="11">
        <v>80</v>
      </c>
      <c r="E25" s="11">
        <v>30</v>
      </c>
      <c r="F25" s="11">
        <v>200</v>
      </c>
      <c r="L25" s="11"/>
      <c r="M25" s="11"/>
      <c r="N25" s="11"/>
      <c r="O25" s="11"/>
      <c r="P25" s="11"/>
    </row>
  </sheetData>
  <phoneticPr fontId="4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I25"/>
  <sheetViews>
    <sheetView workbookViewId="0">
      <selection activeCell="K32" sqref="K32"/>
    </sheetView>
  </sheetViews>
  <sheetFormatPr defaultRowHeight="15"/>
  <sheetData>
    <row r="3" spans="3:9" ht="15.75"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1" t="s">
        <v>8</v>
      </c>
    </row>
    <row r="4" spans="3:9" ht="15.75">
      <c r="C4" s="11" t="s">
        <v>3</v>
      </c>
      <c r="D4" s="16">
        <v>10</v>
      </c>
      <c r="E4" s="17">
        <v>5</v>
      </c>
      <c r="F4" s="17">
        <v>2</v>
      </c>
      <c r="G4" s="18">
        <v>60</v>
      </c>
      <c r="H4" s="28">
        <v>23</v>
      </c>
      <c r="I4" s="11">
        <f>+SUM(D4:H4)</f>
        <v>100</v>
      </c>
    </row>
    <row r="5" spans="3:9" ht="15.75">
      <c r="C5" s="11" t="s">
        <v>4</v>
      </c>
      <c r="D5" s="19">
        <v>5</v>
      </c>
      <c r="E5" s="20">
        <v>10</v>
      </c>
      <c r="F5" s="21">
        <v>2</v>
      </c>
      <c r="G5" s="22">
        <v>45</v>
      </c>
      <c r="H5" s="29">
        <v>18</v>
      </c>
      <c r="I5" s="11">
        <f>+SUM(D5:H5)</f>
        <v>80</v>
      </c>
    </row>
    <row r="6" spans="3:9" ht="15.75">
      <c r="C6" s="11" t="s">
        <v>5</v>
      </c>
      <c r="D6" s="23">
        <v>2</v>
      </c>
      <c r="E6" s="20">
        <v>2</v>
      </c>
      <c r="F6" s="20">
        <v>6</v>
      </c>
      <c r="G6" s="24">
        <v>15</v>
      </c>
      <c r="H6" s="29">
        <v>5</v>
      </c>
      <c r="I6" s="11">
        <f>+SUM(D6:H6)</f>
        <v>30</v>
      </c>
    </row>
    <row r="7" spans="3:9" ht="15.75">
      <c r="C7" s="11" t="s">
        <v>9</v>
      </c>
      <c r="D7" s="25">
        <v>5</v>
      </c>
      <c r="E7" s="26">
        <v>5</v>
      </c>
      <c r="F7" s="26">
        <v>1</v>
      </c>
      <c r="G7" s="27">
        <v>5</v>
      </c>
      <c r="H7" s="30">
        <v>184</v>
      </c>
      <c r="I7" s="11">
        <f>+SUM(D7:H7)</f>
        <v>200</v>
      </c>
    </row>
    <row r="8" spans="3:9" ht="15.75">
      <c r="C8" s="11" t="s">
        <v>10</v>
      </c>
      <c r="D8" s="10">
        <v>5</v>
      </c>
      <c r="E8" s="1">
        <v>4</v>
      </c>
      <c r="F8" s="1">
        <v>3</v>
      </c>
      <c r="G8" s="6">
        <v>4</v>
      </c>
    </row>
    <row r="9" spans="3:9" ht="15.75">
      <c r="C9" s="11" t="s">
        <v>11</v>
      </c>
      <c r="D9" s="2">
        <v>20</v>
      </c>
      <c r="E9" s="7">
        <v>15</v>
      </c>
      <c r="F9" s="7">
        <v>3</v>
      </c>
      <c r="G9" s="8">
        <v>15</v>
      </c>
    </row>
    <row r="10" spans="3:9" ht="15.75">
      <c r="C10" s="11" t="s">
        <v>12</v>
      </c>
      <c r="D10" s="4">
        <f>+D11-D9-D8-D7-D6-D5-D4</f>
        <v>53</v>
      </c>
      <c r="E10" s="5">
        <f>+E11-E9-E8-E7-E6-E5-E4</f>
        <v>39</v>
      </c>
      <c r="F10" s="5">
        <f>+F11-F9-F8-F7-F6-F5-F4</f>
        <v>13</v>
      </c>
      <c r="G10" s="9">
        <f>+G11-G9-G8-G7-G6-G5-G4</f>
        <v>56</v>
      </c>
    </row>
    <row r="11" spans="3:9" ht="15.75">
      <c r="C11" s="11" t="s">
        <v>13</v>
      </c>
      <c r="D11" s="11">
        <v>100</v>
      </c>
      <c r="E11" s="11">
        <v>80</v>
      </c>
      <c r="F11" s="11">
        <v>30</v>
      </c>
      <c r="G11" s="11">
        <v>200</v>
      </c>
    </row>
    <row r="17" spans="3:9" ht="15.75">
      <c r="D17" s="11" t="s">
        <v>3</v>
      </c>
      <c r="E17" s="11" t="s">
        <v>4</v>
      </c>
      <c r="F17" s="11" t="s">
        <v>5</v>
      </c>
      <c r="G17" s="11" t="s">
        <v>6</v>
      </c>
      <c r="H17" s="11" t="s">
        <v>7</v>
      </c>
      <c r="I17" s="11" t="s">
        <v>8</v>
      </c>
    </row>
    <row r="18" spans="3:9" ht="15.75">
      <c r="C18" s="11" t="s">
        <v>3</v>
      </c>
      <c r="D18" s="70">
        <f t="shared" ref="D18:G22" si="0">D4/D$11</f>
        <v>0.1</v>
      </c>
      <c r="E18" s="71">
        <f t="shared" si="0"/>
        <v>6.25E-2</v>
      </c>
      <c r="F18" s="71">
        <f t="shared" si="0"/>
        <v>6.6666666666666666E-2</v>
      </c>
      <c r="G18" s="72">
        <f t="shared" si="0"/>
        <v>0.3</v>
      </c>
    </row>
    <row r="19" spans="3:9" ht="15.75">
      <c r="C19" s="11" t="s">
        <v>4</v>
      </c>
      <c r="D19" s="73">
        <f t="shared" si="0"/>
        <v>0.05</v>
      </c>
      <c r="E19" s="74">
        <f t="shared" si="0"/>
        <v>0.125</v>
      </c>
      <c r="F19" s="74">
        <f t="shared" si="0"/>
        <v>6.6666666666666666E-2</v>
      </c>
      <c r="G19" s="75">
        <f t="shared" si="0"/>
        <v>0.22500000000000001</v>
      </c>
    </row>
    <row r="20" spans="3:9" ht="15.75">
      <c r="C20" s="11" t="s">
        <v>5</v>
      </c>
      <c r="D20" s="73">
        <f t="shared" si="0"/>
        <v>0.02</v>
      </c>
      <c r="E20" s="74">
        <f t="shared" si="0"/>
        <v>2.5000000000000001E-2</v>
      </c>
      <c r="F20" s="74">
        <f t="shared" si="0"/>
        <v>0.2</v>
      </c>
      <c r="G20" s="75">
        <f t="shared" si="0"/>
        <v>7.4999999999999997E-2</v>
      </c>
    </row>
    <row r="21" spans="3:9" ht="15.75">
      <c r="C21" s="11" t="s">
        <v>9</v>
      </c>
      <c r="D21" s="76">
        <f t="shared" si="0"/>
        <v>0.05</v>
      </c>
      <c r="E21" s="77">
        <f t="shared" si="0"/>
        <v>6.25E-2</v>
      </c>
      <c r="F21" s="77">
        <f t="shared" si="0"/>
        <v>3.3333333333333333E-2</v>
      </c>
      <c r="G21" s="78">
        <f t="shared" si="0"/>
        <v>2.5000000000000001E-2</v>
      </c>
    </row>
    <row r="22" spans="3:9" ht="15.75">
      <c r="C22" s="11" t="s">
        <v>10</v>
      </c>
      <c r="D22" s="70">
        <f t="shared" si="0"/>
        <v>0.05</v>
      </c>
      <c r="E22" s="71">
        <f t="shared" si="0"/>
        <v>0.05</v>
      </c>
      <c r="F22" s="71">
        <f t="shared" si="0"/>
        <v>0.1</v>
      </c>
      <c r="G22" s="72">
        <f t="shared" si="0"/>
        <v>0.02</v>
      </c>
    </row>
    <row r="23" spans="3:9" ht="15.75">
      <c r="C23" s="11" t="s">
        <v>11</v>
      </c>
      <c r="D23" s="73">
        <f t="shared" ref="D23:G24" si="1">D9/D$11</f>
        <v>0.2</v>
      </c>
      <c r="E23" s="74">
        <f t="shared" si="1"/>
        <v>0.1875</v>
      </c>
      <c r="F23" s="74">
        <f t="shared" si="1"/>
        <v>0.1</v>
      </c>
      <c r="G23" s="75">
        <f t="shared" si="1"/>
        <v>7.4999999999999997E-2</v>
      </c>
    </row>
    <row r="24" spans="3:9" ht="15.75">
      <c r="C24" s="11" t="s">
        <v>12</v>
      </c>
      <c r="D24" s="76">
        <f t="shared" si="1"/>
        <v>0.53</v>
      </c>
      <c r="E24" s="77">
        <f t="shared" si="1"/>
        <v>0.48749999999999999</v>
      </c>
      <c r="F24" s="77">
        <f>F10/F$11</f>
        <v>0.43333333333333335</v>
      </c>
      <c r="G24" s="78">
        <f t="shared" si="1"/>
        <v>0.28000000000000003</v>
      </c>
    </row>
    <row r="25" spans="3:9" ht="15.75">
      <c r="C25" s="11" t="s">
        <v>13</v>
      </c>
    </row>
  </sheetData>
  <phoneticPr fontId="4" type="noConversion"/>
  <pageMargins left="0.7" right="0.7" top="0.78740157499999996" bottom="0.78740157499999996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B2:P27"/>
  <sheetViews>
    <sheetView zoomScaleNormal="100" workbookViewId="0">
      <selection activeCell="N18" sqref="N16:N18"/>
    </sheetView>
  </sheetViews>
  <sheetFormatPr defaultRowHeight="15"/>
  <cols>
    <col min="7" max="10" width="10.28515625" customWidth="1"/>
  </cols>
  <sheetData>
    <row r="2" spans="2:16"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</row>
    <row r="3" spans="2:16">
      <c r="B3" s="11" t="s">
        <v>14</v>
      </c>
      <c r="C3" s="40">
        <v>0.1</v>
      </c>
      <c r="D3" s="41">
        <v>6.25E-2</v>
      </c>
      <c r="E3" s="41">
        <v>6.6666666666666666E-2</v>
      </c>
      <c r="F3" s="42">
        <v>0.3</v>
      </c>
    </row>
    <row r="4" spans="2:16">
      <c r="B4" s="11" t="s">
        <v>15</v>
      </c>
      <c r="C4" s="43">
        <v>0.05</v>
      </c>
      <c r="D4" s="44">
        <v>0.125</v>
      </c>
      <c r="E4" s="44">
        <v>6.6666666666666666E-2</v>
      </c>
      <c r="F4" s="45">
        <v>0.22500000000000001</v>
      </c>
    </row>
    <row r="5" spans="2:16">
      <c r="B5" s="11" t="s">
        <v>16</v>
      </c>
      <c r="C5" s="43">
        <v>0.02</v>
      </c>
      <c r="D5" s="44">
        <v>2.5000000000000001E-2</v>
      </c>
      <c r="E5" s="44">
        <v>0.2</v>
      </c>
      <c r="F5" s="45">
        <v>7.4999999999999997E-2</v>
      </c>
    </row>
    <row r="6" spans="2:16">
      <c r="B6" s="11" t="s">
        <v>20</v>
      </c>
      <c r="C6" s="46">
        <v>0.05</v>
      </c>
      <c r="D6" s="47">
        <v>6.25E-2</v>
      </c>
      <c r="E6" s="47">
        <v>3.3333333333333333E-2</v>
      </c>
      <c r="F6" s="48">
        <v>2.5000000000000001E-2</v>
      </c>
    </row>
    <row r="7" spans="2:16">
      <c r="B7" s="11" t="s">
        <v>21</v>
      </c>
      <c r="C7" s="40">
        <v>0.05</v>
      </c>
      <c r="D7" s="41">
        <v>0.05</v>
      </c>
      <c r="E7" s="41">
        <v>0.1</v>
      </c>
      <c r="F7" s="42">
        <v>0.02</v>
      </c>
    </row>
    <row r="8" spans="2:16">
      <c r="B8" s="11" t="s">
        <v>22</v>
      </c>
      <c r="C8" s="43">
        <v>0.2</v>
      </c>
      <c r="D8" s="44">
        <v>0.1875</v>
      </c>
      <c r="E8" s="44">
        <v>0.1</v>
      </c>
      <c r="F8" s="45">
        <v>7.4999999999999997E-2</v>
      </c>
    </row>
    <row r="9" spans="2:16">
      <c r="B9" s="11" t="s">
        <v>23</v>
      </c>
      <c r="C9" s="46">
        <v>0.53</v>
      </c>
      <c r="D9" s="47">
        <v>0.48749999999999999</v>
      </c>
      <c r="E9" s="47">
        <v>0.43333333333333335</v>
      </c>
      <c r="F9" s="48">
        <v>0.28000000000000003</v>
      </c>
    </row>
    <row r="10" spans="2:16">
      <c r="B10" s="11" t="s">
        <v>24</v>
      </c>
    </row>
    <row r="14" spans="2:16">
      <c r="G14" s="11" t="s">
        <v>1</v>
      </c>
      <c r="L14" s="11" t="s">
        <v>25</v>
      </c>
      <c r="M14" s="11"/>
      <c r="N14" s="11" t="s">
        <v>27</v>
      </c>
      <c r="O14" s="11"/>
      <c r="P14" s="11" t="s">
        <v>26</v>
      </c>
    </row>
    <row r="15" spans="2:16">
      <c r="B15">
        <v>1</v>
      </c>
      <c r="C15">
        <v>0</v>
      </c>
      <c r="D15">
        <v>0</v>
      </c>
      <c r="E15">
        <v>0</v>
      </c>
      <c r="G15" s="40">
        <f>B15-C3</f>
        <v>0.9</v>
      </c>
      <c r="H15" s="41">
        <f t="shared" ref="H15:J18" si="0">C15-D3</f>
        <v>-6.25E-2</v>
      </c>
      <c r="I15" s="41">
        <f t="shared" si="0"/>
        <v>-6.6666666666666666E-2</v>
      </c>
      <c r="J15" s="42">
        <f t="shared" si="0"/>
        <v>-0.3</v>
      </c>
      <c r="L15" s="11">
        <v>120</v>
      </c>
      <c r="N15">
        <f t="array" ref="N15:N18">MMULT(G15:J18,L15:L18)</f>
        <v>41</v>
      </c>
      <c r="P15">
        <v>23</v>
      </c>
    </row>
    <row r="16" spans="2:16">
      <c r="B16">
        <v>0</v>
      </c>
      <c r="C16">
        <v>1</v>
      </c>
      <c r="D16">
        <v>0</v>
      </c>
      <c r="E16">
        <v>0</v>
      </c>
      <c r="G16" s="43">
        <f>B16-C4</f>
        <v>-0.05</v>
      </c>
      <c r="H16" s="44">
        <f t="shared" si="0"/>
        <v>0.875</v>
      </c>
      <c r="I16" s="44">
        <f t="shared" si="0"/>
        <v>-6.6666666666666666E-2</v>
      </c>
      <c r="J16" s="45">
        <f t="shared" si="0"/>
        <v>-0.22500000000000001</v>
      </c>
      <c r="L16" s="49">
        <v>80</v>
      </c>
      <c r="N16">
        <v>17</v>
      </c>
      <c r="P16">
        <v>18</v>
      </c>
    </row>
    <row r="17" spans="2:16">
      <c r="B17">
        <v>0</v>
      </c>
      <c r="C17">
        <v>0</v>
      </c>
      <c r="D17">
        <v>1</v>
      </c>
      <c r="E17">
        <v>0</v>
      </c>
      <c r="G17" s="43">
        <f>B17-C5</f>
        <v>-0.02</v>
      </c>
      <c r="H17" s="44">
        <f t="shared" si="0"/>
        <v>-2.5000000000000001E-2</v>
      </c>
      <c r="I17" s="44">
        <f t="shared" si="0"/>
        <v>0.8</v>
      </c>
      <c r="J17" s="45">
        <f t="shared" si="0"/>
        <v>-7.4999999999999997E-2</v>
      </c>
      <c r="L17" s="49">
        <v>30</v>
      </c>
      <c r="N17">
        <v>4.6000000000000014</v>
      </c>
      <c r="P17">
        <v>5</v>
      </c>
    </row>
    <row r="18" spans="2:16">
      <c r="B18">
        <v>0</v>
      </c>
      <c r="C18">
        <v>0</v>
      </c>
      <c r="D18">
        <v>0</v>
      </c>
      <c r="E18">
        <v>1</v>
      </c>
      <c r="G18" s="46">
        <f>B18-C6</f>
        <v>-0.05</v>
      </c>
      <c r="H18" s="47">
        <f t="shared" si="0"/>
        <v>-6.25E-2</v>
      </c>
      <c r="I18" s="47">
        <f t="shared" si="0"/>
        <v>-3.3333333333333333E-2</v>
      </c>
      <c r="J18" s="48">
        <f t="shared" si="0"/>
        <v>0.97499999999999998</v>
      </c>
      <c r="L18" s="49">
        <v>200</v>
      </c>
      <c r="N18">
        <v>183</v>
      </c>
      <c r="P18">
        <v>184</v>
      </c>
    </row>
    <row r="19" spans="2:16">
      <c r="N19" s="50">
        <f>+SUM(N15:N18)</f>
        <v>245.6</v>
      </c>
      <c r="P19" s="50">
        <f>+SUM(P15:P18)</f>
        <v>230</v>
      </c>
    </row>
    <row r="22" spans="2:16" ht="17.25">
      <c r="G22" s="11" t="s">
        <v>28</v>
      </c>
      <c r="H22" s="11"/>
      <c r="I22" s="11"/>
      <c r="J22" s="11"/>
      <c r="K22" s="11"/>
      <c r="L22" s="11" t="s">
        <v>27</v>
      </c>
      <c r="M22" s="11"/>
      <c r="N22" s="11" t="s">
        <v>25</v>
      </c>
      <c r="O22" s="11"/>
      <c r="P22" s="11" t="s">
        <v>2</v>
      </c>
    </row>
    <row r="23" spans="2:16">
      <c r="G23">
        <f t="array" ref="G23:J26">MINVERSE(G15:J18)</f>
        <v>1.1415184409624441</v>
      </c>
      <c r="H23">
        <v>0.1125900252190959</v>
      </c>
      <c r="I23">
        <v>0.12061306739622864</v>
      </c>
      <c r="J23">
        <v>0.38649668514640712</v>
      </c>
      <c r="L23">
        <v>23</v>
      </c>
      <c r="N23">
        <f t="array" ref="N23:N26">MMULT(G23:J26,L23:L26)</f>
        <v>101.91403042872463</v>
      </c>
      <c r="P23" s="49">
        <v>100</v>
      </c>
    </row>
    <row r="24" spans="2:16">
      <c r="G24">
        <v>8.4851694065355698E-2</v>
      </c>
      <c r="H24">
        <v>1.1741454791494506</v>
      </c>
      <c r="I24">
        <v>0.1176712852646133</v>
      </c>
      <c r="J24">
        <v>0.30611649992110679</v>
      </c>
      <c r="L24" s="11">
        <v>35</v>
      </c>
      <c r="N24">
        <v>99.960473145540675</v>
      </c>
      <c r="P24" s="49">
        <v>80</v>
      </c>
    </row>
    <row r="25" spans="2:16">
      <c r="G25">
        <v>3.7307146123667173E-2</v>
      </c>
      <c r="H25">
        <v>4.7255718423311756E-2</v>
      </c>
      <c r="I25">
        <v>1.2620245344629777</v>
      </c>
      <c r="J25">
        <v>0.11946309801750631</v>
      </c>
      <c r="L25">
        <v>5</v>
      </c>
      <c r="N25">
        <v>30.803347213196304</v>
      </c>
      <c r="P25" s="49">
        <v>30</v>
      </c>
    </row>
    <row r="26" spans="2:16">
      <c r="G26">
        <v>6.5254076374012829E-2</v>
      </c>
      <c r="H26">
        <v>8.2655163407082927E-2</v>
      </c>
      <c r="I26">
        <v>5.6874454544563094E-2</v>
      </c>
      <c r="J26">
        <v>1.0691684295073229</v>
      </c>
      <c r="L26">
        <v>184</v>
      </c>
      <c r="N26">
        <v>201.40513777792043</v>
      </c>
      <c r="P26" s="49">
        <v>200</v>
      </c>
    </row>
    <row r="27" spans="2:16">
      <c r="N27" s="50">
        <f>+SUM(N23:N26)</f>
        <v>434.08298856538204</v>
      </c>
      <c r="P27" s="50">
        <f>+SUM(P23:P26)</f>
        <v>410</v>
      </c>
    </row>
  </sheetData>
  <phoneticPr fontId="4" type="noConversion"/>
  <pageMargins left="0.7" right="0.7" top="0.78740157499999996" bottom="0.78740157499999996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2:S51"/>
  <sheetViews>
    <sheetView zoomScale="70" zoomScaleNormal="70" workbookViewId="0">
      <selection activeCell="V59" sqref="V59:X64"/>
    </sheetView>
  </sheetViews>
  <sheetFormatPr defaultRowHeight="15"/>
  <cols>
    <col min="10" max="10" width="11.85546875" bestFit="1" customWidth="1"/>
    <col min="11" max="14" width="9.28515625" bestFit="1" customWidth="1"/>
  </cols>
  <sheetData>
    <row r="2" spans="2:19">
      <c r="R2" s="7"/>
    </row>
    <row r="3" spans="2:19" ht="18">
      <c r="B3" t="s">
        <v>42</v>
      </c>
      <c r="C3">
        <v>1</v>
      </c>
      <c r="R3" s="7"/>
    </row>
    <row r="4" spans="2:19">
      <c r="C4">
        <v>1</v>
      </c>
      <c r="R4" s="7"/>
    </row>
    <row r="5" spans="2:19">
      <c r="C5">
        <v>1.1000000000000001</v>
      </c>
      <c r="R5" s="7"/>
    </row>
    <row r="6" spans="2:19">
      <c r="C6">
        <v>1.2</v>
      </c>
      <c r="R6" s="7"/>
    </row>
    <row r="7" spans="2:19">
      <c r="B7" s="51"/>
      <c r="K7" s="11"/>
      <c r="L7" s="11"/>
      <c r="M7" s="11"/>
      <c r="N7" s="11"/>
      <c r="R7" s="7"/>
      <c r="S7" s="7"/>
    </row>
    <row r="8" spans="2:19">
      <c r="B8" s="79" t="s">
        <v>29</v>
      </c>
      <c r="C8" s="10">
        <v>100</v>
      </c>
      <c r="D8" s="1">
        <v>0</v>
      </c>
      <c r="E8" s="1">
        <v>0</v>
      </c>
      <c r="F8" s="6">
        <v>0</v>
      </c>
      <c r="J8" s="51" t="s">
        <v>30</v>
      </c>
      <c r="K8" s="61">
        <v>0.1</v>
      </c>
      <c r="L8" s="62">
        <v>6.25E-2</v>
      </c>
      <c r="M8" s="62">
        <v>6.6666666666666666E-2</v>
      </c>
      <c r="N8" s="63">
        <v>0.3</v>
      </c>
      <c r="R8" s="7"/>
      <c r="S8" s="7"/>
    </row>
    <row r="9" spans="2:19">
      <c r="B9" s="51"/>
      <c r="C9" s="2">
        <v>0</v>
      </c>
      <c r="D9" s="7">
        <v>80</v>
      </c>
      <c r="E9" s="7">
        <v>0</v>
      </c>
      <c r="F9" s="8">
        <v>0</v>
      </c>
      <c r="J9" s="11"/>
      <c r="K9" s="64">
        <v>0.05</v>
      </c>
      <c r="L9" s="65">
        <v>0.125</v>
      </c>
      <c r="M9" s="65">
        <v>6.6666666666666666E-2</v>
      </c>
      <c r="N9" s="66">
        <v>0.22500000000000001</v>
      </c>
      <c r="R9" s="7"/>
      <c r="S9" s="7"/>
    </row>
    <row r="10" spans="2:19">
      <c r="B10" s="51"/>
      <c r="C10" s="2">
        <v>0</v>
      </c>
      <c r="D10" s="7">
        <v>0</v>
      </c>
      <c r="E10" s="7">
        <v>30</v>
      </c>
      <c r="F10" s="8">
        <v>0</v>
      </c>
      <c r="J10" s="11"/>
      <c r="K10" s="64">
        <v>0.02</v>
      </c>
      <c r="L10" s="65">
        <v>2.5000000000000001E-2</v>
      </c>
      <c r="M10" s="65">
        <v>0.2</v>
      </c>
      <c r="N10" s="66">
        <v>7.4999999999999997E-2</v>
      </c>
      <c r="R10" s="7"/>
      <c r="S10" s="7"/>
    </row>
    <row r="11" spans="2:19">
      <c r="B11" s="51"/>
      <c r="C11" s="4">
        <v>0</v>
      </c>
      <c r="D11" s="5">
        <v>0</v>
      </c>
      <c r="E11" s="5">
        <v>0</v>
      </c>
      <c r="F11" s="9">
        <v>200</v>
      </c>
      <c r="J11" s="11"/>
      <c r="K11" s="67">
        <v>0.05</v>
      </c>
      <c r="L11" s="68">
        <v>6.25E-2</v>
      </c>
      <c r="M11" s="68">
        <v>3.3333333333333333E-2</v>
      </c>
      <c r="N11" s="69">
        <v>2.5000000000000001E-2</v>
      </c>
      <c r="R11" s="7"/>
      <c r="S11" s="7"/>
    </row>
    <row r="12" spans="2:19">
      <c r="B12" s="51"/>
      <c r="K12" s="12"/>
      <c r="L12" s="12"/>
      <c r="M12" s="12"/>
      <c r="N12" s="12"/>
      <c r="R12" s="7"/>
      <c r="S12" s="7"/>
    </row>
    <row r="13" spans="2:19">
      <c r="B13" s="79" t="s">
        <v>31</v>
      </c>
      <c r="C13" s="10">
        <v>5</v>
      </c>
      <c r="D13" s="1">
        <v>0</v>
      </c>
      <c r="E13" s="1">
        <v>0</v>
      </c>
      <c r="F13" s="6">
        <v>0</v>
      </c>
      <c r="J13" s="51" t="s">
        <v>34</v>
      </c>
      <c r="K13" s="10">
        <v>1</v>
      </c>
      <c r="L13" s="1">
        <v>0</v>
      </c>
      <c r="M13" s="1">
        <v>0</v>
      </c>
      <c r="N13" s="6">
        <v>0</v>
      </c>
      <c r="R13" s="7"/>
      <c r="S13" s="7"/>
    </row>
    <row r="14" spans="2:19">
      <c r="B14" s="51"/>
      <c r="C14" s="2">
        <v>0</v>
      </c>
      <c r="D14" s="7">
        <v>4</v>
      </c>
      <c r="E14" s="7">
        <v>0</v>
      </c>
      <c r="F14" s="8">
        <v>0</v>
      </c>
      <c r="J14" s="11"/>
      <c r="K14" s="2">
        <v>0</v>
      </c>
      <c r="L14" s="7">
        <v>1</v>
      </c>
      <c r="M14" s="7">
        <v>0</v>
      </c>
      <c r="N14" s="8">
        <v>0</v>
      </c>
      <c r="R14" s="7"/>
      <c r="S14" s="7"/>
    </row>
    <row r="15" spans="2:19">
      <c r="B15" s="51"/>
      <c r="C15" s="2">
        <v>0</v>
      </c>
      <c r="D15" s="7">
        <v>0</v>
      </c>
      <c r="E15" s="7">
        <v>3</v>
      </c>
      <c r="F15" s="8">
        <v>0</v>
      </c>
      <c r="J15" s="11"/>
      <c r="K15" s="2">
        <v>0</v>
      </c>
      <c r="L15" s="7">
        <v>0</v>
      </c>
      <c r="M15" s="7">
        <v>1</v>
      </c>
      <c r="N15" s="8">
        <v>0</v>
      </c>
      <c r="R15" s="7"/>
      <c r="S15" s="7"/>
    </row>
    <row r="16" spans="2:19">
      <c r="B16" s="51"/>
      <c r="C16" s="4">
        <v>0</v>
      </c>
      <c r="D16" s="5">
        <v>0</v>
      </c>
      <c r="E16" s="5">
        <v>0</v>
      </c>
      <c r="F16" s="9">
        <v>4</v>
      </c>
      <c r="J16" s="11"/>
      <c r="K16" s="4">
        <v>0</v>
      </c>
      <c r="L16" s="5">
        <v>0</v>
      </c>
      <c r="M16" s="5">
        <v>0</v>
      </c>
      <c r="N16" s="9">
        <v>1</v>
      </c>
      <c r="R16" s="7"/>
      <c r="S16" s="7"/>
    </row>
    <row r="17" spans="2:19">
      <c r="B17" s="51"/>
      <c r="J17" s="11"/>
      <c r="R17" s="7"/>
      <c r="S17" s="7"/>
    </row>
    <row r="18" spans="2:19" ht="17.25">
      <c r="B18" s="79" t="s">
        <v>32</v>
      </c>
      <c r="C18" s="10">
        <v>20</v>
      </c>
      <c r="D18" s="1">
        <v>0</v>
      </c>
      <c r="E18" s="1">
        <v>0</v>
      </c>
      <c r="F18" s="6">
        <v>0</v>
      </c>
      <c r="J18" s="51" t="s">
        <v>35</v>
      </c>
      <c r="K18" s="61">
        <f t="array" ref="K18:N21">TRANSPOSE(K8:N11)</f>
        <v>0.1</v>
      </c>
      <c r="L18" s="62">
        <v>0.05</v>
      </c>
      <c r="M18" s="62">
        <v>0.02</v>
      </c>
      <c r="N18" s="63">
        <v>0.05</v>
      </c>
      <c r="R18" s="7"/>
    </row>
    <row r="19" spans="2:19">
      <c r="B19" s="51"/>
      <c r="C19" s="2">
        <v>0</v>
      </c>
      <c r="D19" s="7">
        <v>15</v>
      </c>
      <c r="E19" s="7">
        <v>0</v>
      </c>
      <c r="F19" s="8">
        <v>0</v>
      </c>
      <c r="K19" s="64">
        <v>6.25E-2</v>
      </c>
      <c r="L19" s="65">
        <v>0.125</v>
      </c>
      <c r="M19" s="65">
        <v>2.5000000000000001E-2</v>
      </c>
      <c r="N19" s="66">
        <v>6.25E-2</v>
      </c>
      <c r="R19" s="7"/>
    </row>
    <row r="20" spans="2:19">
      <c r="B20" s="51"/>
      <c r="C20" s="2">
        <v>0</v>
      </c>
      <c r="D20" s="7">
        <v>0</v>
      </c>
      <c r="E20" s="7">
        <v>3</v>
      </c>
      <c r="F20" s="8">
        <v>0</v>
      </c>
      <c r="K20" s="64">
        <v>6.6666666666666666E-2</v>
      </c>
      <c r="L20" s="65">
        <v>6.6666666666666666E-2</v>
      </c>
      <c r="M20" s="65">
        <v>0.2</v>
      </c>
      <c r="N20" s="66">
        <v>3.3333333333333333E-2</v>
      </c>
      <c r="R20" s="7"/>
    </row>
    <row r="21" spans="2:19">
      <c r="B21" s="51"/>
      <c r="C21" s="4">
        <v>0</v>
      </c>
      <c r="D21" s="5">
        <v>0</v>
      </c>
      <c r="E21" s="5">
        <v>0</v>
      </c>
      <c r="F21" s="9">
        <v>15</v>
      </c>
      <c r="K21" s="67">
        <v>0.3</v>
      </c>
      <c r="L21" s="68">
        <v>0.22500000000000001</v>
      </c>
      <c r="M21" s="68">
        <v>7.4999999999999997E-2</v>
      </c>
      <c r="N21" s="69">
        <v>2.5000000000000001E-2</v>
      </c>
      <c r="R21" s="7"/>
    </row>
    <row r="22" spans="2:19">
      <c r="B22" s="51"/>
      <c r="R22" s="7"/>
    </row>
    <row r="23" spans="2:19" ht="17.25">
      <c r="B23" s="79" t="s">
        <v>33</v>
      </c>
      <c r="C23" s="10">
        <v>53</v>
      </c>
      <c r="D23" s="1">
        <v>0</v>
      </c>
      <c r="E23" s="1">
        <v>0</v>
      </c>
      <c r="F23" s="6">
        <v>0</v>
      </c>
      <c r="J23" s="51" t="s">
        <v>36</v>
      </c>
      <c r="K23" s="61">
        <f t="shared" ref="K23:N26" si="0">K13-K18</f>
        <v>0.9</v>
      </c>
      <c r="L23" s="62">
        <f t="shared" si="0"/>
        <v>-0.05</v>
      </c>
      <c r="M23" s="62">
        <f t="shared" si="0"/>
        <v>-0.02</v>
      </c>
      <c r="N23" s="63">
        <f t="shared" si="0"/>
        <v>-0.05</v>
      </c>
      <c r="R23" s="7"/>
    </row>
    <row r="24" spans="2:19">
      <c r="B24" s="51"/>
      <c r="C24" s="2">
        <v>0</v>
      </c>
      <c r="D24" s="7">
        <v>39</v>
      </c>
      <c r="E24" s="7">
        <v>0</v>
      </c>
      <c r="F24" s="8">
        <v>0</v>
      </c>
      <c r="K24" s="64">
        <f t="shared" si="0"/>
        <v>-6.25E-2</v>
      </c>
      <c r="L24" s="65">
        <f t="shared" si="0"/>
        <v>0.875</v>
      </c>
      <c r="M24" s="65">
        <f t="shared" si="0"/>
        <v>-2.5000000000000001E-2</v>
      </c>
      <c r="N24" s="66">
        <f t="shared" si="0"/>
        <v>-6.25E-2</v>
      </c>
      <c r="R24" s="7"/>
    </row>
    <row r="25" spans="2:19">
      <c r="B25" s="51"/>
      <c r="C25" s="2">
        <v>0</v>
      </c>
      <c r="D25" s="7">
        <v>0</v>
      </c>
      <c r="E25" s="7">
        <v>13</v>
      </c>
      <c r="F25" s="8">
        <v>0</v>
      </c>
      <c r="K25" s="64">
        <f t="shared" si="0"/>
        <v>-6.6666666666666666E-2</v>
      </c>
      <c r="L25" s="65">
        <f t="shared" si="0"/>
        <v>-6.6666666666666666E-2</v>
      </c>
      <c r="M25" s="65">
        <f t="shared" si="0"/>
        <v>0.8</v>
      </c>
      <c r="N25" s="66">
        <f t="shared" si="0"/>
        <v>-3.3333333333333333E-2</v>
      </c>
      <c r="R25" s="7"/>
    </row>
    <row r="26" spans="2:19">
      <c r="B26" s="51"/>
      <c r="C26" s="4">
        <v>0</v>
      </c>
      <c r="D26" s="5">
        <v>0</v>
      </c>
      <c r="E26" s="5">
        <v>0</v>
      </c>
      <c r="F26" s="9">
        <v>56</v>
      </c>
      <c r="K26" s="67">
        <f t="shared" si="0"/>
        <v>-0.3</v>
      </c>
      <c r="L26" s="68">
        <f t="shared" si="0"/>
        <v>-0.22500000000000001</v>
      </c>
      <c r="M26" s="68">
        <f t="shared" si="0"/>
        <v>-7.4999999999999997E-2</v>
      </c>
      <c r="N26" s="69">
        <f t="shared" si="0"/>
        <v>0.97499999999999998</v>
      </c>
      <c r="R26" s="7"/>
    </row>
    <row r="27" spans="2:19">
      <c r="B27" s="51"/>
      <c r="R27" s="7"/>
    </row>
    <row r="28" spans="2:19" ht="17.25">
      <c r="B28" s="79" t="s">
        <v>38</v>
      </c>
      <c r="C28" s="10">
        <f t="array" ref="C28:F31">MINVERSE(C8:F11)</f>
        <v>0.01</v>
      </c>
      <c r="D28" s="1">
        <v>0</v>
      </c>
      <c r="E28" s="1">
        <v>0</v>
      </c>
      <c r="F28" s="6">
        <v>0</v>
      </c>
      <c r="J28" s="51" t="s">
        <v>37</v>
      </c>
      <c r="K28" s="61">
        <f t="array" ref="K28:N31">MINVERSE(K23:N26)</f>
        <v>1.1415184409624441</v>
      </c>
      <c r="L28" s="62">
        <v>8.4851694065355698E-2</v>
      </c>
      <c r="M28" s="62">
        <v>3.7307146123667173E-2</v>
      </c>
      <c r="N28" s="63">
        <v>6.5254076374012843E-2</v>
      </c>
      <c r="R28" s="7"/>
    </row>
    <row r="29" spans="2:19">
      <c r="C29" s="2">
        <v>0</v>
      </c>
      <c r="D29" s="7">
        <v>1.2500000000000001E-2</v>
      </c>
      <c r="E29" s="7">
        <v>0</v>
      </c>
      <c r="F29" s="8">
        <v>0</v>
      </c>
      <c r="K29" s="64">
        <v>0.11259002521909592</v>
      </c>
      <c r="L29" s="65">
        <v>1.1741454791494506</v>
      </c>
      <c r="M29" s="65">
        <v>4.7255718423311749E-2</v>
      </c>
      <c r="N29" s="66">
        <v>8.2655163407082927E-2</v>
      </c>
      <c r="R29" s="7"/>
    </row>
    <row r="30" spans="2:19">
      <c r="C30" s="2">
        <v>0</v>
      </c>
      <c r="D30" s="7">
        <v>0</v>
      </c>
      <c r="E30" s="7">
        <v>3.3333333333333333E-2</v>
      </c>
      <c r="F30" s="8">
        <v>0</v>
      </c>
      <c r="K30" s="64">
        <v>0.12061306739622864</v>
      </c>
      <c r="L30" s="65">
        <v>0.1176712852646133</v>
      </c>
      <c r="M30" s="65">
        <v>1.2620245344629777</v>
      </c>
      <c r="N30" s="66">
        <v>5.6874454544563108E-2</v>
      </c>
      <c r="R30" s="7"/>
    </row>
    <row r="31" spans="2:19">
      <c r="C31" s="4">
        <v>0</v>
      </c>
      <c r="D31" s="5">
        <v>0</v>
      </c>
      <c r="E31" s="5">
        <v>0</v>
      </c>
      <c r="F31" s="9">
        <v>5.0000000000000001E-3</v>
      </c>
      <c r="K31" s="67">
        <v>0.38649668514640717</v>
      </c>
      <c r="L31" s="68">
        <v>0.30611649992110673</v>
      </c>
      <c r="M31" s="68">
        <v>0.11946309801750631</v>
      </c>
      <c r="N31" s="69">
        <v>1.0691684295073229</v>
      </c>
      <c r="R31" s="7"/>
    </row>
    <row r="32" spans="2:19">
      <c r="R32" s="7"/>
    </row>
    <row r="33" spans="2:18" ht="18.75">
      <c r="B33" t="s">
        <v>40</v>
      </c>
      <c r="C33">
        <v>1</v>
      </c>
      <c r="E33" t="s">
        <v>41</v>
      </c>
      <c r="F33">
        <v>1</v>
      </c>
      <c r="J33" s="51" t="s">
        <v>39</v>
      </c>
      <c r="K33" s="52">
        <f t="array" ref="K33:N36">MMULT(K28:N31,C28:F31)</f>
        <v>1.1415184409624442E-2</v>
      </c>
      <c r="L33" s="53">
        <v>1.0606461758169462E-3</v>
      </c>
      <c r="M33" s="53">
        <v>1.2435715374555724E-3</v>
      </c>
      <c r="N33" s="54">
        <v>3.2627038187006419E-4</v>
      </c>
      <c r="R33" s="7"/>
    </row>
    <row r="34" spans="2:18">
      <c r="C34">
        <v>1</v>
      </c>
      <c r="F34">
        <v>1</v>
      </c>
      <c r="K34" s="55">
        <v>1.1259002521909593E-3</v>
      </c>
      <c r="L34" s="56">
        <v>1.4676818489368132E-2</v>
      </c>
      <c r="M34" s="56">
        <v>1.5751906141103916E-3</v>
      </c>
      <c r="N34" s="57">
        <v>4.1327581703541464E-4</v>
      </c>
      <c r="R34" s="7"/>
    </row>
    <row r="35" spans="2:18">
      <c r="C35">
        <v>1</v>
      </c>
      <c r="F35">
        <v>1</v>
      </c>
      <c r="K35" s="55">
        <v>1.2061306739622865E-3</v>
      </c>
      <c r="L35" s="56">
        <v>1.4708910658076664E-3</v>
      </c>
      <c r="M35" s="56">
        <v>4.2067484482099259E-2</v>
      </c>
      <c r="N35" s="57">
        <v>2.8437227272281554E-4</v>
      </c>
      <c r="R35" s="7"/>
    </row>
    <row r="36" spans="2:18">
      <c r="C36">
        <v>1</v>
      </c>
      <c r="F36">
        <v>1</v>
      </c>
      <c r="K36" s="58">
        <v>3.8649668514640716E-3</v>
      </c>
      <c r="L36" s="59">
        <v>3.8264562490138345E-3</v>
      </c>
      <c r="M36" s="59">
        <v>3.9821032672502105E-3</v>
      </c>
      <c r="N36" s="60">
        <v>5.3458421475366148E-3</v>
      </c>
      <c r="O36" s="7"/>
      <c r="P36" s="7"/>
      <c r="Q36" s="7"/>
      <c r="R36" s="7"/>
    </row>
    <row r="37" spans="2:18">
      <c r="K37" s="7"/>
      <c r="L37" s="7"/>
      <c r="M37" s="34"/>
      <c r="N37" s="7"/>
      <c r="O37" s="7"/>
      <c r="P37" s="7"/>
      <c r="Q37" s="7"/>
      <c r="R37" s="7"/>
    </row>
    <row r="38" spans="2:18" ht="18">
      <c r="B38" s="79" t="s">
        <v>43</v>
      </c>
      <c r="C38" s="80">
        <f t="array" ref="C38:C41">MMULT(C13:F16,C33:C36)</f>
        <v>5</v>
      </c>
      <c r="D38" s="7"/>
      <c r="E38" s="7"/>
      <c r="F38" s="7"/>
    </row>
    <row r="39" spans="2:18">
      <c r="C39" s="3">
        <v>4</v>
      </c>
      <c r="D39" s="7"/>
      <c r="E39" s="7"/>
      <c r="F39" s="7"/>
    </row>
    <row r="40" spans="2:18">
      <c r="C40" s="3">
        <v>3</v>
      </c>
      <c r="D40" s="7"/>
      <c r="E40" s="7"/>
      <c r="F40" s="7"/>
    </row>
    <row r="41" spans="2:18">
      <c r="C41" s="81">
        <v>4</v>
      </c>
      <c r="D41" s="7"/>
      <c r="E41" s="7"/>
      <c r="F41" s="7"/>
    </row>
    <row r="43" spans="2:18" ht="18">
      <c r="B43" s="79" t="s">
        <v>44</v>
      </c>
      <c r="C43" s="80">
        <f t="array" ref="C43:C46">MMULT(C18:F21,C3:C6)</f>
        <v>20</v>
      </c>
    </row>
    <row r="44" spans="2:18">
      <c r="C44" s="3">
        <v>15</v>
      </c>
    </row>
    <row r="45" spans="2:18">
      <c r="C45" s="3">
        <v>3.3000000000000003</v>
      </c>
    </row>
    <row r="46" spans="2:18">
      <c r="C46" s="81">
        <v>18</v>
      </c>
    </row>
    <row r="47" spans="2:18">
      <c r="E47" t="s">
        <v>47</v>
      </c>
    </row>
    <row r="48" spans="2:18" ht="18">
      <c r="B48" s="79" t="s">
        <v>45</v>
      </c>
      <c r="C48" s="80">
        <f t="array" ref="C48:C51">MMULT(C23:F26,F33:F36)</f>
        <v>53</v>
      </c>
      <c r="E48" s="80">
        <f>+C38+C43+C48</f>
        <v>78</v>
      </c>
      <c r="G48" s="79" t="s">
        <v>46</v>
      </c>
      <c r="H48" s="82">
        <f t="array" ref="H48:H51">MMULT(K33:N36,E48:E51)</f>
        <v>1.0013518826068468</v>
      </c>
    </row>
    <row r="49" spans="3:8">
      <c r="C49" s="3">
        <v>39</v>
      </c>
      <c r="E49" s="3">
        <f>+C39+C44+C49</f>
        <v>58</v>
      </c>
      <c r="H49" s="83">
        <v>1.0017123846353393</v>
      </c>
    </row>
    <row r="50" spans="3:8">
      <c r="C50" s="3">
        <v>13</v>
      </c>
      <c r="E50" s="3">
        <f>+C40+C45+C50</f>
        <v>19.3</v>
      </c>
      <c r="H50" s="83">
        <v>1.0134733621627983</v>
      </c>
    </row>
    <row r="51" spans="3:8">
      <c r="C51" s="81">
        <v>56</v>
      </c>
      <c r="E51" s="81">
        <f>+C41+C46+C51</f>
        <v>78</v>
      </c>
      <c r="H51" s="84">
        <v>1.0172321574227849</v>
      </c>
    </row>
  </sheetData>
  <phoneticPr fontId="4" type="noConversion"/>
  <pageMargins left="0.78740157499999996" right="0.78740157499999996" top="0.984251969" bottom="0.984251969" header="0.4921259845" footer="0.4921259845"/>
  <pageSetup paperSize="9" orientation="portrait" vertic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fill the table</vt:lpstr>
      <vt:lpstr>IOcoef</vt:lpstr>
      <vt:lpstr>Leontief matrix</vt:lpstr>
      <vt:lpstr>indeces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Ingvar</dc:creator>
  <cp:lastModifiedBy>E10_00</cp:lastModifiedBy>
  <dcterms:created xsi:type="dcterms:W3CDTF">2008-10-28T15:51:30Z</dcterms:created>
  <dcterms:modified xsi:type="dcterms:W3CDTF">2012-03-15T14:18:48Z</dcterms:modified>
</cp:coreProperties>
</file>