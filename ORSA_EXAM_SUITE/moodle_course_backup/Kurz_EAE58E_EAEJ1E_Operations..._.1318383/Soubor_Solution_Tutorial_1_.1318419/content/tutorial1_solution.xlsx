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ůj disk\Přípravy\ORSA\New\2023\C1\"/>
    </mc:Choice>
  </mc:AlternateContent>
  <xr:revisionPtr revIDLastSave="0" documentId="13_ncr:1_{97575E4B-CAC8-454E-BB03-A9CFD3BD5148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task1" sheetId="1" r:id="rId1"/>
    <sheet name="task2" sheetId="3" r:id="rId2"/>
    <sheet name="Answer Report 1" sheetId="4" r:id="rId3"/>
    <sheet name="Sensitivity Report 1" sheetId="5" r:id="rId4"/>
    <sheet name="Task2_2and3" sheetId="7" r:id="rId5"/>
    <sheet name="Answer Report RHS260" sheetId="23" r:id="rId6"/>
    <sheet name="Sensitivity Report RHS260" sheetId="24" r:id="rId7"/>
    <sheet name="Answer Report for price 4" sheetId="21" r:id="rId8"/>
    <sheet name="Sensitivity Report for price 4" sheetId="22" r:id="rId9"/>
  </sheets>
  <definedNames>
    <definedName name="solver_adj" localSheetId="1" hidden="1">task2!$C$12:$E$12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task2!$F$14</definedName>
    <definedName name="solver_lhs2" localSheetId="1" hidden="1">task2!$F$15</definedName>
    <definedName name="solver_lhs3" localSheetId="1" hidden="1">task2!$F$16</definedName>
    <definedName name="solver_mip" localSheetId="1" hidden="1">2147483647</definedName>
    <definedName name="solver_mni" localSheetId="1" hidden="1">30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task2!$G$18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hs1" localSheetId="1" hidden="1">task2!$G$14</definedName>
    <definedName name="solver_rhs2" localSheetId="1" hidden="1">task2!$G$15</definedName>
    <definedName name="solver_rhs3" localSheetId="1" hidden="1">task2!$G$16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" l="1"/>
  <c r="R20" i="1"/>
  <c r="C55" i="1"/>
  <c r="G18" i="3"/>
  <c r="F16" i="3"/>
  <c r="F15" i="3"/>
  <c r="F14" i="3"/>
  <c r="K43" i="1"/>
  <c r="E43" i="1" s="1"/>
  <c r="G43" i="1" s="1"/>
  <c r="I28" i="1"/>
  <c r="I30" i="1"/>
  <c r="I27" i="1"/>
  <c r="I29" i="1"/>
  <c r="J10" i="1"/>
  <c r="J14" i="1" s="1"/>
  <c r="C10" i="1"/>
  <c r="C14" i="1" s="1"/>
  <c r="J11" i="1"/>
  <c r="J15" i="1" s="1"/>
  <c r="I10" i="1"/>
  <c r="I14" i="1" s="1"/>
  <c r="H10" i="1"/>
  <c r="H14" i="1" s="1"/>
  <c r="H11" i="1"/>
  <c r="H15" i="1" s="1"/>
  <c r="G10" i="1"/>
  <c r="G14" i="1" s="1"/>
  <c r="G11" i="1"/>
  <c r="G15" i="1" s="1"/>
  <c r="G19" i="1" s="1"/>
  <c r="F10" i="1"/>
  <c r="F14" i="1"/>
  <c r="F17" i="1" s="1"/>
  <c r="F11" i="1"/>
  <c r="F15" i="1" s="1"/>
  <c r="F19" i="1" s="1"/>
  <c r="E10" i="1"/>
  <c r="E14" i="1" s="1"/>
  <c r="E11" i="1"/>
  <c r="E15" i="1" s="1"/>
  <c r="E19" i="1" s="1"/>
  <c r="D10" i="1"/>
  <c r="K10" i="1" s="1"/>
  <c r="D11" i="1"/>
  <c r="D15" i="1" s="1"/>
  <c r="D19" i="1" s="1"/>
  <c r="C11" i="1"/>
  <c r="C15" i="1" s="1"/>
  <c r="C19" i="1" s="1"/>
  <c r="J12" i="1"/>
  <c r="K12" i="1" s="1"/>
  <c r="C12" i="1"/>
  <c r="I12" i="1"/>
  <c r="H12" i="1"/>
  <c r="G12" i="1"/>
  <c r="F12" i="1"/>
  <c r="E12" i="1"/>
  <c r="D12" i="1"/>
  <c r="I11" i="1"/>
  <c r="I15" i="1" s="1"/>
  <c r="J13" i="1"/>
  <c r="J9" i="1"/>
  <c r="C48" i="1" l="1"/>
  <c r="E48" i="1" s="1"/>
  <c r="F16" i="1"/>
  <c r="H16" i="1"/>
  <c r="D14" i="1"/>
  <c r="I16" i="1"/>
  <c r="J16" i="1"/>
  <c r="K16" i="1" s="1"/>
  <c r="I19" i="1"/>
  <c r="L43" i="1" s="1"/>
  <c r="I17" i="1"/>
  <c r="C17" i="1"/>
  <c r="C18" i="1"/>
  <c r="C21" i="1" s="1"/>
  <c r="C16" i="1"/>
  <c r="K14" i="1"/>
  <c r="I18" i="1"/>
  <c r="F18" i="1"/>
  <c r="G18" i="1"/>
  <c r="G21" i="1" s="1"/>
  <c r="G16" i="1"/>
  <c r="G17" i="1"/>
  <c r="J18" i="1"/>
  <c r="J19" i="1"/>
  <c r="J17" i="1"/>
  <c r="E18" i="1"/>
  <c r="E21" i="1" s="1"/>
  <c r="H19" i="1"/>
  <c r="M43" i="1" s="1"/>
  <c r="H17" i="1"/>
  <c r="H18" i="1"/>
  <c r="E16" i="1"/>
  <c r="F21" i="1" l="1"/>
  <c r="K42" i="1"/>
  <c r="C54" i="1"/>
  <c r="C34" i="1"/>
  <c r="I21" i="1"/>
  <c r="L42" i="1"/>
  <c r="E20" i="1"/>
  <c r="J21" i="1"/>
  <c r="C53" i="1"/>
  <c r="H21" i="1"/>
  <c r="M42" i="1"/>
  <c r="D18" i="1"/>
  <c r="D21" i="1" s="1"/>
  <c r="D16" i="1"/>
  <c r="D17" i="1"/>
  <c r="J20" i="1"/>
  <c r="H20" i="1"/>
  <c r="M44" i="1" s="1"/>
  <c r="C20" i="1"/>
  <c r="F20" i="1"/>
  <c r="K44" i="1" s="1"/>
  <c r="I20" i="1"/>
  <c r="L44" i="1" s="1"/>
  <c r="G20" i="1"/>
  <c r="E44" i="1" l="1"/>
  <c r="G44" i="1" s="1"/>
  <c r="C49" i="1"/>
  <c r="E49" i="1" s="1"/>
  <c r="C47" i="1"/>
  <c r="E47" i="1" s="1"/>
  <c r="E42" i="1"/>
  <c r="G42" i="1" s="1"/>
  <c r="H45" i="1" s="1"/>
  <c r="D20" i="1"/>
  <c r="C35" i="1" s="1"/>
  <c r="C33" i="1"/>
  <c r="E45" i="1"/>
  <c r="G45" i="1" s="1"/>
  <c r="C50" i="1"/>
  <c r="E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Uživatel systému Windows</author>
  </authors>
  <commentList>
    <comment ref="I2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see the formulas
</t>
        </r>
      </text>
    </comment>
    <comment ref="F28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100 pcs of ponies = 0.1
we are moving it on the right hand side of the equation, therefore it will be -0.1</t>
        </r>
      </text>
    </comment>
    <comment ref="C33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 xml:space="preserve">IK:
</t>
        </r>
        <r>
          <rPr>
            <sz val="9"/>
            <color indexed="81"/>
            <rFont val="Tahoma"/>
            <family val="2"/>
            <charset val="238"/>
          </rPr>
          <t xml:space="preserve">see the formulas
we choose the lowest positive just like in the test for feasibility
</t>
        </r>
      </text>
    </comment>
    <comment ref="K41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Basis matrix inverse = transformation matrix
</t>
        </r>
      </text>
    </comment>
    <comment ref="H45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Two ways of calculation of the change of the profit</t>
        </r>
      </text>
    </comment>
    <comment ref="B67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7 is the original price, 2 is the shadow price.
If the price reaches the exat 9 (7+2), there will be alternative solution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Uživatel systému Windows</author>
  </authors>
  <commentList>
    <comment ref="F14" authorId="0" shapeId="0" xr:uid="{C7535639-FF41-4995-94A3-CF9C730B9EA1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Must be in the form of equations</t>
        </r>
      </text>
    </comment>
    <comment ref="G18" authorId="0" shapeId="0" xr:uid="{1ACCD91B-2D76-490F-93BA-8413447DC5C6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Must be in the form of equations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Uživatel systému Windows</author>
  </authors>
  <commentList>
    <comment ref="E20" authorId="0" shapeId="0" xr:uid="{79295237-EF57-4834-9550-28E136C65417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these are the right hand sides of the final solution
</t>
        </r>
      </text>
    </comment>
    <comment ref="G30" authorId="0" shapeId="0" xr:uid="{06DD0205-6691-4AE2-9CB2-C0901F60D59B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x6 in the hand solution 
slack variable showing that not the whole capacity is used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Uživatel systému Windows</author>
  </authors>
  <commentList>
    <comment ref="G7" authorId="0" shapeId="0" xr:uid="{E81A70EE-1EF3-49EC-BE69-55B02FE7A35D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If we change the objective function coefficients in this interval, the basis will not change (but </t>
        </r>
        <r>
          <rPr>
            <i/>
            <sz val="9"/>
            <color indexed="81"/>
            <rFont val="Tahoma"/>
            <family val="2"/>
            <charset val="238"/>
          </rPr>
          <t>the value of the objective function will change if we change the coefficient of the basic variables!</t>
        </r>
        <r>
          <rPr>
            <sz val="9"/>
            <color indexed="81"/>
            <rFont val="Tahoma"/>
            <family val="2"/>
            <charset val="238"/>
          </rPr>
          <t>)</t>
        </r>
      </text>
    </comment>
    <comment ref="H10" authorId="0" shapeId="0" xr:uid="{0E3E9444-DE11-4234-AC7F-7C67E88BFF49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this is infinity --- nop bound, id we decrease the price of ponies, basis will not change (they are not in the basis, its not a surprise then)</t>
        </r>
      </text>
    </comment>
    <comment ref="G14" authorId="0" shapeId="0" xr:uid="{B2173234-5EE3-4A17-8230-04CC3A62D5BF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Same, but for right hand sides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Uživatel systému Windows</author>
  </authors>
  <commentList>
    <comment ref="E20" authorId="0" shapeId="0" xr:uid="{73425F0B-3BF4-4DEB-9D6E-9AC5ACEC4FAC}">
      <text>
        <r>
          <rPr>
            <b/>
            <sz val="9"/>
            <color indexed="81"/>
            <rFont val="Tahoma"/>
            <family val="2"/>
            <charset val="238"/>
          </rPr>
          <t>IK:</t>
        </r>
        <r>
          <rPr>
            <sz val="9"/>
            <color indexed="81"/>
            <rFont val="Tahoma"/>
            <family val="2"/>
            <charset val="238"/>
          </rPr>
          <t xml:space="preserve">
different basis</t>
        </r>
      </text>
    </comment>
  </commentList>
</comments>
</file>

<file path=xl/sharedStrings.xml><?xml version="1.0" encoding="utf-8"?>
<sst xmlns="http://schemas.openxmlformats.org/spreadsheetml/2006/main" count="329" uniqueCount="107">
  <si>
    <t>x1</t>
  </si>
  <si>
    <t>number of elephants (1000 pieces)</t>
  </si>
  <si>
    <t>x2</t>
  </si>
  <si>
    <t>number of ponies (1000 pieces)</t>
  </si>
  <si>
    <t>x3</t>
  </si>
  <si>
    <t>number of giraffes (1000 pieces)</t>
  </si>
  <si>
    <t>c</t>
  </si>
  <si>
    <t>B</t>
  </si>
  <si>
    <t>x4</t>
  </si>
  <si>
    <t>x5</t>
  </si>
  <si>
    <t>x6</t>
  </si>
  <si>
    <t>x7</t>
  </si>
  <si>
    <t>b</t>
  </si>
  <si>
    <t>wood</t>
  </si>
  <si>
    <t>giraffes</t>
  </si>
  <si>
    <t>total cap.</t>
  </si>
  <si>
    <t>zj-cj</t>
  </si>
  <si>
    <t xml:space="preserve"> x</t>
  </si>
  <si>
    <t xml:space="preserve"> x </t>
  </si>
  <si>
    <t>omega</t>
  </si>
  <si>
    <t>d)</t>
  </si>
  <si>
    <t>c)</t>
  </si>
  <si>
    <t>e)</t>
  </si>
  <si>
    <t>b1 can go down to 240-140=100</t>
  </si>
  <si>
    <t>can go up to 240+20=260</t>
  </si>
  <si>
    <t>f)</t>
  </si>
  <si>
    <t>a) and b)</t>
  </si>
  <si>
    <t>origunal RHS</t>
  </si>
  <si>
    <t>New RHS and profit</t>
  </si>
  <si>
    <t>max number of ponies (still in thousands), i.e. 466.667 ponies</t>
  </si>
  <si>
    <r>
      <rPr>
        <b/>
        <i/>
        <sz val="10"/>
        <rFont val="Arial"/>
        <family val="2"/>
        <charset val="238"/>
      </rPr>
      <t>B</t>
    </r>
    <r>
      <rPr>
        <vertAlign val="superscript"/>
        <sz val="10"/>
        <rFont val="Arial"/>
        <family val="2"/>
        <charset val="238"/>
      </rPr>
      <t>-1</t>
    </r>
  </si>
  <si>
    <t>9+ per piece</t>
  </si>
  <si>
    <t>RHS</t>
  </si>
  <si>
    <t>elephants</t>
  </si>
  <si>
    <t>girafes</t>
  </si>
  <si>
    <t>ponies</t>
  </si>
  <si>
    <t>LHS</t>
  </si>
  <si>
    <t>Prices</t>
  </si>
  <si>
    <t>Profit</t>
  </si>
  <si>
    <t>Microsoft Excel 16.0 Answer Report</t>
  </si>
  <si>
    <t>Worksheet: [tutorial1_solution.xlsx]task2</t>
  </si>
  <si>
    <t>Report Created: 27.01.2023 14:08:10</t>
  </si>
  <si>
    <t>Result: Solver found a solution.  All Constraints and optimality conditions are satisfied.</t>
  </si>
  <si>
    <t>Solver Engine</t>
  </si>
  <si>
    <t>Engine: Simplex LP</t>
  </si>
  <si>
    <t>Solution Time: 0,031 Seconds.</t>
  </si>
  <si>
    <t>Iterations: 4 Subproblems: 0</t>
  </si>
  <si>
    <t>Solver Options</t>
  </si>
  <si>
    <t>Max Time Unlimited,  Iterations Unlimited, Precision 0,000001,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</si>
  <si>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</si>
  <si>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</si>
  <si>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</si>
  <si>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</si>
  <si>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</si>
  <si>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</si>
  <si>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</si>
  <si>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</si>
  <si>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</si>
  <si>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</si>
  <si>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</si>
  <si>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</si>
  <si>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</si>
  <si>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$G$18</t>
  </si>
  <si>
    <t>Profit RHS</t>
  </si>
  <si>
    <t>$C$12</t>
  </si>
  <si>
    <t>Contin</t>
  </si>
  <si>
    <t>$D$12</t>
  </si>
  <si>
    <t>$E$12</t>
  </si>
  <si>
    <t>$F$14</t>
  </si>
  <si>
    <t>wood LHS</t>
  </si>
  <si>
    <t>$F$14&lt;=$G$14</t>
  </si>
  <si>
    <t>Binding</t>
  </si>
  <si>
    <t>$F$15</t>
  </si>
  <si>
    <t>giraffes LHS</t>
  </si>
  <si>
    <t>$F$15&gt;=$G$15</t>
  </si>
  <si>
    <t>$F$16</t>
  </si>
  <si>
    <t>total cap. LHS</t>
  </si>
  <si>
    <t>$F$16&lt;=$G$16</t>
  </si>
  <si>
    <t>Not Binding</t>
  </si>
  <si>
    <t>Microsoft Excel 16.0 Sensitivity Report</t>
  </si>
  <si>
    <t>Report Created: 27.01.2023 14:08:11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</si>
  <si>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</si>
  <si>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</si>
  <si>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</si>
  <si>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</si>
  <si>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</si>
  <si>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</si>
  <si>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</si>
  <si>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</si>
  <si>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</si>
  <si>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</si>
  <si>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</si>
  <si>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</si>
  <si>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</si>
  <si>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This is how to prepare the model</t>
  </si>
  <si>
    <t>3)</t>
  </si>
  <si>
    <t>2)</t>
  </si>
  <si>
    <t>Change the RHS1 back to 240</t>
  </si>
  <si>
    <t>Cahnge the price of elephants from 6 to 4 and check the result</t>
  </si>
  <si>
    <t>Solution Time: 0,078 Seconds.</t>
  </si>
  <si>
    <t>Max Time Unlimited,  Iterations Unlimited, Precision """""""""""""""""""""""""""""""""""""""""""""""""""""""""""""""""""""""""""""""""""""""""""""""""""""""""""""""""""""""""""""""0,000001""""""""""""""""""""""""""""""""""""""""""""""""""""""""""""""""""""""""""""""""""""""""""""""""""""""""""""""""""""""""""""""", Use Automatic Scaling</t>
  </si>
  <si>
    <t>Just rewrite the first RHS from 240 to 261 (260 is minimum and there would be an alternative solution - shadow price = 0)</t>
  </si>
  <si>
    <t>Report Created: 27.01.2023 14:31:59</t>
  </si>
  <si>
    <t>Iterations: 3 Subproblems: 0</t>
  </si>
  <si>
    <t>Report Created: 27.01.2023 14:32:00</t>
  </si>
  <si>
    <t>Report Created: 27.01.2023 14:33:50</t>
  </si>
  <si>
    <t>Report Created: 27.01.2023 14:33:51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</si>
</sst>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charset val="238"/>
    </font>
    <font>
      <sz val="12"/>
      <color indexed="8"/>
      <name val="Calibri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0"/>
      <name val="Arial"/>
      <family val="2"/>
      <charset val="238"/>
    </font>
    <font>
      <vertAlign val="superscript"/>
      <sz val="10"/>
      <name val="Arial"/>
      <family val="2"/>
      <charset val="238"/>
    </font>
    <font>
      <b/>
      <i/>
      <sz val="10"/>
      <name val="Arial"/>
      <family val="2"/>
      <charset val="238"/>
    </font>
    <font>
      <b/>
      <sz val="10"/>
      <color indexed="18"/>
      <name val="Arial"/>
      <family val="2"/>
      <charset val="238"/>
    </font>
    <font>
      <i/>
      <sz val="9"/>
      <color indexed="81"/>
      <name val="Tahoma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3" fillId="5" borderId="0" xfId="0" applyFont="1" applyFill="1"/>
    <xf numFmtId="0" fontId="0" fillId="5" borderId="0" xfId="0" applyFill="1"/>
    <xf numFmtId="0" fontId="0" fillId="6" borderId="0" xfId="0" applyFill="1"/>
    <xf numFmtId="0" fontId="1" fillId="0" borderId="0" xfId="0" applyFont="1" applyFill="1" applyBorder="1" applyAlignment="1">
      <alignment horizontal="center"/>
    </xf>
    <xf numFmtId="0" fontId="0" fillId="0" borderId="5" xfId="0" applyFill="1" applyBorder="1" applyAlignment="1"/>
    <xf numFmtId="0" fontId="9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8283</xdr:colOff>
      <xdr:row>16</xdr:row>
      <xdr:rowOff>157370</xdr:rowOff>
    </xdr:from>
    <xdr:to>
      <xdr:col>10</xdr:col>
      <xdr:colOff>41414</xdr:colOff>
      <xdr:row>21</xdr:row>
      <xdr:rowOff>99391</xdr:rowOff>
    </xdr:to>
    <xdr:sp macro="" textlink="">
      <xdr:nvSpPr>
        <xdr:cNvPr id="2" name="Ovál 1">
          <a:extLst>
            <a:ext uri="{FF2B5EF4-FFF2-40B4-BE49-F238E27FC236}">
              <a16:creationId xmlns:a16="http://schemas.microsoft.com/office/drawing/2014/main" id="{23A5CA6F-2908-4CF4-382A-BFCA5B5123FF}"/>
            </a:ext>
          </a:extLst>
        </xdr:cNvPr>
        <xdr:cNvSpPr/>
      </xdr:nvSpPr>
      <xdr:spPr>
        <a:xfrm>
          <a:off x="6054587" y="3238500"/>
          <a:ext cx="646044" cy="93593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4</xdr:col>
      <xdr:colOff>0</xdr:colOff>
      <xdr:row>25</xdr:row>
      <xdr:rowOff>102706</xdr:rowOff>
    </xdr:from>
    <xdr:to>
      <xdr:col>5</xdr:col>
      <xdr:colOff>33131</xdr:colOff>
      <xdr:row>30</xdr:row>
      <xdr:rowOff>77857</xdr:rowOff>
    </xdr:to>
    <xdr:sp macro="" textlink="">
      <xdr:nvSpPr>
        <xdr:cNvPr id="3" name="Ovál 2">
          <a:extLst>
            <a:ext uri="{FF2B5EF4-FFF2-40B4-BE49-F238E27FC236}">
              <a16:creationId xmlns:a16="http://schemas.microsoft.com/office/drawing/2014/main" id="{524CA284-1AA8-CB62-9795-C14041236793}"/>
            </a:ext>
          </a:extLst>
        </xdr:cNvPr>
        <xdr:cNvSpPr/>
      </xdr:nvSpPr>
      <xdr:spPr>
        <a:xfrm>
          <a:off x="0" y="5006010"/>
          <a:ext cx="646044" cy="93593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4</xdr:col>
      <xdr:colOff>551433</xdr:colOff>
      <xdr:row>20</xdr:row>
      <xdr:rowOff>161109</xdr:rowOff>
    </xdr:from>
    <xdr:to>
      <xdr:col>9</xdr:col>
      <xdr:colOff>102894</xdr:colOff>
      <xdr:row>26</xdr:row>
      <xdr:rowOff>74118</xdr:rowOff>
    </xdr:to>
    <xdr:cxnSp macro="">
      <xdr:nvCxnSpPr>
        <xdr:cNvPr id="5" name="Přímá spojnice se šipkou 4">
          <a:extLst>
            <a:ext uri="{FF2B5EF4-FFF2-40B4-BE49-F238E27FC236}">
              <a16:creationId xmlns:a16="http://schemas.microsoft.com/office/drawing/2014/main" id="{F58B5C03-3AD5-1CF6-3C82-6706A1AA4BF5}"/>
            </a:ext>
          </a:extLst>
        </xdr:cNvPr>
        <xdr:cNvCxnSpPr>
          <a:stCxn id="2" idx="3"/>
          <a:endCxn id="3" idx="7"/>
        </xdr:cNvCxnSpPr>
      </xdr:nvCxnSpPr>
      <xdr:spPr>
        <a:xfrm flipH="1">
          <a:off x="3301259" y="4037370"/>
          <a:ext cx="2847939" cy="94005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881268</xdr:colOff>
      <xdr:row>16</xdr:row>
      <xdr:rowOff>152401</xdr:rowOff>
    </xdr:from>
    <xdr:to>
      <xdr:col>4</xdr:col>
      <xdr:colOff>3312</xdr:colOff>
      <xdr:row>21</xdr:row>
      <xdr:rowOff>94422</xdr:rowOff>
    </xdr:to>
    <xdr:sp macro="" textlink="">
      <xdr:nvSpPr>
        <xdr:cNvPr id="6" name="Ovál 5">
          <a:extLst>
            <a:ext uri="{FF2B5EF4-FFF2-40B4-BE49-F238E27FC236}">
              <a16:creationId xmlns:a16="http://schemas.microsoft.com/office/drawing/2014/main" id="{C953CCD0-A41B-D224-8F74-89B41BEAFC26}"/>
            </a:ext>
          </a:extLst>
        </xdr:cNvPr>
        <xdr:cNvSpPr/>
      </xdr:nvSpPr>
      <xdr:spPr>
        <a:xfrm>
          <a:off x="2107094" y="3233531"/>
          <a:ext cx="646044" cy="935934"/>
        </a:xfrm>
        <a:prstGeom prst="ellipse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6</xdr:col>
      <xdr:colOff>114299</xdr:colOff>
      <xdr:row>25</xdr:row>
      <xdr:rowOff>106018</xdr:rowOff>
    </xdr:from>
    <xdr:to>
      <xdr:col>6</xdr:col>
      <xdr:colOff>760343</xdr:colOff>
      <xdr:row>30</xdr:row>
      <xdr:rowOff>81169</xdr:rowOff>
    </xdr:to>
    <xdr:sp macro="" textlink="">
      <xdr:nvSpPr>
        <xdr:cNvPr id="9" name="Ovál 8">
          <a:extLst>
            <a:ext uri="{FF2B5EF4-FFF2-40B4-BE49-F238E27FC236}">
              <a16:creationId xmlns:a16="http://schemas.microsoft.com/office/drawing/2014/main" id="{8DAB8DF7-8E25-719E-7A3C-83110BC2583C}"/>
            </a:ext>
          </a:extLst>
        </xdr:cNvPr>
        <xdr:cNvSpPr/>
      </xdr:nvSpPr>
      <xdr:spPr>
        <a:xfrm>
          <a:off x="1340125" y="5009322"/>
          <a:ext cx="646044" cy="935934"/>
        </a:xfrm>
        <a:prstGeom prst="ellipse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3</xdr:col>
      <xdr:colOff>293203</xdr:colOff>
      <xdr:row>21</xdr:row>
      <xdr:rowOff>94422</xdr:rowOff>
    </xdr:from>
    <xdr:to>
      <xdr:col>6</xdr:col>
      <xdr:colOff>208910</xdr:colOff>
      <xdr:row>26</xdr:row>
      <xdr:rowOff>77430</xdr:rowOff>
    </xdr:to>
    <xdr:cxnSp macro="">
      <xdr:nvCxnSpPr>
        <xdr:cNvPr id="10" name="Přímá spojnice se šipkou 9">
          <a:extLst>
            <a:ext uri="{FF2B5EF4-FFF2-40B4-BE49-F238E27FC236}">
              <a16:creationId xmlns:a16="http://schemas.microsoft.com/office/drawing/2014/main" id="{D26DEC27-FE9A-530A-A8ED-D28696D48E37}"/>
            </a:ext>
          </a:extLst>
        </xdr:cNvPr>
        <xdr:cNvCxnSpPr>
          <a:stCxn id="6" idx="4"/>
          <a:endCxn id="9" idx="1"/>
        </xdr:cNvCxnSpPr>
      </xdr:nvCxnSpPr>
      <xdr:spPr>
        <a:xfrm>
          <a:off x="2430116" y="4169465"/>
          <a:ext cx="1754446" cy="8112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149087</xdr:colOff>
      <xdr:row>39</xdr:row>
      <xdr:rowOff>155715</xdr:rowOff>
    </xdr:from>
    <xdr:to>
      <xdr:col>11</xdr:col>
      <xdr:colOff>82828</xdr:colOff>
      <xdr:row>44</xdr:row>
      <xdr:rowOff>147431</xdr:rowOff>
    </xdr:to>
    <xdr:sp macro="" textlink="">
      <xdr:nvSpPr>
        <xdr:cNvPr id="17" name="Ovál 16">
          <a:extLst>
            <a:ext uri="{FF2B5EF4-FFF2-40B4-BE49-F238E27FC236}">
              <a16:creationId xmlns:a16="http://schemas.microsoft.com/office/drawing/2014/main" id="{81E80701-1436-7E1E-6F03-8AE02F04AD4A}"/>
            </a:ext>
          </a:extLst>
        </xdr:cNvPr>
        <xdr:cNvSpPr/>
      </xdr:nvSpPr>
      <xdr:spPr>
        <a:xfrm>
          <a:off x="6808304" y="7345019"/>
          <a:ext cx="546654" cy="93593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4</xdr:col>
      <xdr:colOff>106017</xdr:colOff>
      <xdr:row>40</xdr:row>
      <xdr:rowOff>9940</xdr:rowOff>
    </xdr:from>
    <xdr:to>
      <xdr:col>4</xdr:col>
      <xdr:colOff>580611</xdr:colOff>
      <xdr:row>44</xdr:row>
      <xdr:rowOff>167309</xdr:rowOff>
    </xdr:to>
    <xdr:sp macro="" textlink="">
      <xdr:nvSpPr>
        <xdr:cNvPr id="18" name="Ovál 17">
          <a:extLst>
            <a:ext uri="{FF2B5EF4-FFF2-40B4-BE49-F238E27FC236}">
              <a16:creationId xmlns:a16="http://schemas.microsoft.com/office/drawing/2014/main" id="{7C66316D-71C1-66C4-2001-E6F59C9CC321}"/>
            </a:ext>
          </a:extLst>
        </xdr:cNvPr>
        <xdr:cNvSpPr/>
      </xdr:nvSpPr>
      <xdr:spPr>
        <a:xfrm>
          <a:off x="2855843" y="7364897"/>
          <a:ext cx="474594" cy="93593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4</xdr:col>
      <xdr:colOff>580611</xdr:colOff>
      <xdr:row>42</xdr:row>
      <xdr:rowOff>77029</xdr:rowOff>
    </xdr:from>
    <xdr:to>
      <xdr:col>10</xdr:col>
      <xdr:colOff>149087</xdr:colOff>
      <xdr:row>42</xdr:row>
      <xdr:rowOff>96907</xdr:rowOff>
    </xdr:to>
    <xdr:cxnSp macro="">
      <xdr:nvCxnSpPr>
        <xdr:cNvPr id="19" name="Přímá spojnice se šipkou 18">
          <a:extLst>
            <a:ext uri="{FF2B5EF4-FFF2-40B4-BE49-F238E27FC236}">
              <a16:creationId xmlns:a16="http://schemas.microsoft.com/office/drawing/2014/main" id="{EC8966C7-A69F-C7AE-B4A3-9572B2D6FD01}"/>
            </a:ext>
          </a:extLst>
        </xdr:cNvPr>
        <xdr:cNvCxnSpPr>
          <a:stCxn id="17" idx="2"/>
          <a:endCxn id="18" idx="6"/>
        </xdr:cNvCxnSpPr>
      </xdr:nvCxnSpPr>
      <xdr:spPr>
        <a:xfrm flipH="1">
          <a:off x="3330437" y="7812986"/>
          <a:ext cx="3477867" cy="1987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18</xdr:row>
      <xdr:rowOff>57150</xdr:rowOff>
    </xdr:from>
    <xdr:to>
      <xdr:col>5</xdr:col>
      <xdr:colOff>9525</xdr:colOff>
      <xdr:row>24</xdr:row>
      <xdr:rowOff>19050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5CD78FE-1EF5-66C5-4198-9B734B15C61C}"/>
            </a:ext>
          </a:extLst>
        </xdr:cNvPr>
        <xdr:cNvSpPr/>
      </xdr:nvSpPr>
      <xdr:spPr>
        <a:xfrm>
          <a:off x="2514600" y="3000375"/>
          <a:ext cx="800100" cy="962025"/>
        </a:xfrm>
        <a:prstGeom prst="ellipse">
          <a:avLst/>
        </a:prstGeom>
        <a:noFill/>
        <a:ln w="1905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18</xdr:row>
      <xdr:rowOff>152400</xdr:rowOff>
    </xdr:from>
    <xdr:to>
      <xdr:col>5</xdr:col>
      <xdr:colOff>0</xdr:colOff>
      <xdr:row>24</xdr:row>
      <xdr:rowOff>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3AD010E-C6FA-8FA6-0DBC-8C5A8A0B54F3}"/>
            </a:ext>
          </a:extLst>
        </xdr:cNvPr>
        <xdr:cNvSpPr/>
      </xdr:nvSpPr>
      <xdr:spPr>
        <a:xfrm>
          <a:off x="2619375" y="3095625"/>
          <a:ext cx="685800" cy="847725"/>
        </a:xfrm>
        <a:prstGeom prst="ellipse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zoomScale="115" zoomScaleNormal="115" workbookViewId="0">
      <selection activeCell="D4" sqref="D4"/>
    </sheetView>
  </sheetViews>
  <sheetFormatPr defaultRowHeight="12.75" x14ac:dyDescent="0.2"/>
  <cols>
    <col min="3" max="3" width="13.7109375" customWidth="1"/>
    <col min="7" max="7" width="12.7109375" customWidth="1"/>
  </cols>
  <sheetData>
    <row r="1" spans="1:11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</row>
    <row r="4" spans="1:11" ht="15.75" x14ac:dyDescent="0.25">
      <c r="A4" s="2"/>
      <c r="B4" s="2"/>
      <c r="C4" s="2">
        <v>6</v>
      </c>
      <c r="D4" s="2">
        <v>7</v>
      </c>
      <c r="E4" s="2">
        <v>4</v>
      </c>
      <c r="F4" s="2">
        <v>0</v>
      </c>
      <c r="G4" s="2">
        <v>0</v>
      </c>
      <c r="H4" s="2">
        <v>0</v>
      </c>
      <c r="I4" s="2">
        <v>-100</v>
      </c>
      <c r="J4" s="2"/>
      <c r="K4" s="2"/>
    </row>
    <row r="5" spans="1:11" ht="15.75" x14ac:dyDescent="0.25">
      <c r="A5" s="2" t="s">
        <v>6</v>
      </c>
      <c r="B5" s="2" t="s">
        <v>7</v>
      </c>
      <c r="C5" s="2" t="s">
        <v>0</v>
      </c>
      <c r="D5" s="2" t="s">
        <v>2</v>
      </c>
      <c r="E5" s="2" t="s">
        <v>4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/>
    </row>
    <row r="6" spans="1:11" ht="15.75" x14ac:dyDescent="0.25">
      <c r="A6" s="2">
        <v>0</v>
      </c>
      <c r="B6" s="2" t="s">
        <v>8</v>
      </c>
      <c r="C6" s="2">
        <v>200</v>
      </c>
      <c r="D6" s="2">
        <v>300</v>
      </c>
      <c r="E6" s="3">
        <v>500</v>
      </c>
      <c r="F6" s="2">
        <v>1</v>
      </c>
      <c r="G6" s="2">
        <v>0</v>
      </c>
      <c r="H6" s="2">
        <v>0</v>
      </c>
      <c r="I6" s="2">
        <v>0</v>
      </c>
      <c r="J6" s="2">
        <v>240</v>
      </c>
      <c r="K6" s="2" t="s">
        <v>13</v>
      </c>
    </row>
    <row r="7" spans="1:11" ht="15.75" x14ac:dyDescent="0.25">
      <c r="A7" s="2">
        <v>-100</v>
      </c>
      <c r="B7" s="2" t="s">
        <v>11</v>
      </c>
      <c r="C7" s="3">
        <v>0</v>
      </c>
      <c r="D7" s="3">
        <v>0</v>
      </c>
      <c r="E7" s="3">
        <v>1</v>
      </c>
      <c r="F7" s="3">
        <v>0</v>
      </c>
      <c r="G7" s="3">
        <v>-1</v>
      </c>
      <c r="H7" s="3">
        <v>0</v>
      </c>
      <c r="I7" s="3">
        <v>1</v>
      </c>
      <c r="J7" s="3">
        <v>0.2</v>
      </c>
      <c r="K7" s="2" t="s">
        <v>14</v>
      </c>
    </row>
    <row r="8" spans="1:11" ht="15.75" x14ac:dyDescent="0.25">
      <c r="A8" s="2">
        <v>0</v>
      </c>
      <c r="B8" s="2" t="s">
        <v>10</v>
      </c>
      <c r="C8" s="2">
        <v>1</v>
      </c>
      <c r="D8" s="2">
        <v>1</v>
      </c>
      <c r="E8" s="3">
        <v>1</v>
      </c>
      <c r="F8" s="2">
        <v>0</v>
      </c>
      <c r="G8" s="2">
        <v>0</v>
      </c>
      <c r="H8" s="2">
        <v>1</v>
      </c>
      <c r="I8" s="2">
        <v>0</v>
      </c>
      <c r="J8" s="2">
        <v>1</v>
      </c>
      <c r="K8" s="2" t="s">
        <v>15</v>
      </c>
    </row>
    <row r="9" spans="1:11" ht="15.75" x14ac:dyDescent="0.25">
      <c r="A9" s="4"/>
      <c r="B9" s="4" t="s">
        <v>16</v>
      </c>
      <c r="C9" s="4">
        <v>-6</v>
      </c>
      <c r="D9" s="4">
        <v>-7</v>
      </c>
      <c r="E9" s="4">
        <v>-104</v>
      </c>
      <c r="F9" s="4">
        <v>0</v>
      </c>
      <c r="G9" s="4">
        <v>10</v>
      </c>
      <c r="H9" s="4">
        <v>0</v>
      </c>
      <c r="I9" s="4">
        <v>0</v>
      </c>
      <c r="J9" s="4">
        <f>-2</f>
        <v>-2</v>
      </c>
      <c r="K9" s="4"/>
    </row>
    <row r="10" spans="1:11" ht="15.75" x14ac:dyDescent="0.25">
      <c r="A10" s="2">
        <v>0</v>
      </c>
      <c r="B10" s="2" t="s">
        <v>8</v>
      </c>
      <c r="C10" s="3">
        <f>C6-500*C7</f>
        <v>200</v>
      </c>
      <c r="D10" s="3">
        <f t="shared" ref="D10:J10" si="0">D6-500*D7</f>
        <v>300</v>
      </c>
      <c r="E10" s="3">
        <f t="shared" si="0"/>
        <v>0</v>
      </c>
      <c r="F10" s="3">
        <f t="shared" si="0"/>
        <v>1</v>
      </c>
      <c r="G10" s="3">
        <f t="shared" si="0"/>
        <v>500</v>
      </c>
      <c r="H10" s="3">
        <f t="shared" si="0"/>
        <v>0</v>
      </c>
      <c r="I10" s="3">
        <f t="shared" si="0"/>
        <v>-500</v>
      </c>
      <c r="J10" s="3">
        <f t="shared" si="0"/>
        <v>140</v>
      </c>
      <c r="K10" s="5">
        <f>J10/D10</f>
        <v>0.46666666666666667</v>
      </c>
    </row>
    <row r="11" spans="1:11" ht="15.75" x14ac:dyDescent="0.25">
      <c r="A11" s="2">
        <v>4</v>
      </c>
      <c r="B11" s="2" t="s">
        <v>4</v>
      </c>
      <c r="C11" s="5">
        <f>C7</f>
        <v>0</v>
      </c>
      <c r="D11" s="3">
        <f t="shared" ref="D11:J11" si="1">D7</f>
        <v>0</v>
      </c>
      <c r="E11" s="5">
        <f t="shared" si="1"/>
        <v>1</v>
      </c>
      <c r="F11" s="5">
        <f t="shared" si="1"/>
        <v>0</v>
      </c>
      <c r="G11" s="5">
        <f t="shared" si="1"/>
        <v>-1</v>
      </c>
      <c r="H11" s="5">
        <f t="shared" si="1"/>
        <v>0</v>
      </c>
      <c r="I11" s="5">
        <f t="shared" si="1"/>
        <v>1</v>
      </c>
      <c r="J11" s="5">
        <f t="shared" si="1"/>
        <v>0.2</v>
      </c>
      <c r="K11" s="5"/>
    </row>
    <row r="12" spans="1:11" ht="15.75" x14ac:dyDescent="0.25">
      <c r="A12" s="2">
        <v>0</v>
      </c>
      <c r="B12" s="2" t="s">
        <v>10</v>
      </c>
      <c r="C12" s="5">
        <f>C8-C7</f>
        <v>1</v>
      </c>
      <c r="D12" s="3">
        <f t="shared" ref="D12:J12" si="2">D8-D7</f>
        <v>1</v>
      </c>
      <c r="E12" s="5">
        <f t="shared" si="2"/>
        <v>0</v>
      </c>
      <c r="F12" s="5">
        <f t="shared" si="2"/>
        <v>0</v>
      </c>
      <c r="G12" s="5">
        <f t="shared" si="2"/>
        <v>1</v>
      </c>
      <c r="H12" s="5">
        <f t="shared" si="2"/>
        <v>1</v>
      </c>
      <c r="I12" s="5">
        <f t="shared" si="2"/>
        <v>-1</v>
      </c>
      <c r="J12" s="5">
        <f t="shared" si="2"/>
        <v>0.8</v>
      </c>
      <c r="K12" s="5">
        <f>J12/D12</f>
        <v>0.8</v>
      </c>
    </row>
    <row r="13" spans="1:11" ht="15.75" x14ac:dyDescent="0.25">
      <c r="A13" s="4"/>
      <c r="B13" s="4" t="s">
        <v>16</v>
      </c>
      <c r="C13" s="4">
        <v>-6</v>
      </c>
      <c r="D13" s="4">
        <v>-7</v>
      </c>
      <c r="E13" s="4" t="s">
        <v>17</v>
      </c>
      <c r="F13" s="4" t="s">
        <v>18</v>
      </c>
      <c r="G13" s="4">
        <v>-4</v>
      </c>
      <c r="H13" s="4" t="s">
        <v>17</v>
      </c>
      <c r="I13" s="4">
        <v>104</v>
      </c>
      <c r="J13" s="4">
        <f>A11*J11</f>
        <v>0.8</v>
      </c>
      <c r="K13" s="5"/>
    </row>
    <row r="14" spans="1:11" ht="15.75" x14ac:dyDescent="0.25">
      <c r="A14" s="2">
        <v>7</v>
      </c>
      <c r="B14" s="2" t="s">
        <v>2</v>
      </c>
      <c r="C14" s="3">
        <f>C10/300</f>
        <v>0.66666666666666663</v>
      </c>
      <c r="D14" s="3">
        <f t="shared" ref="D14:J14" si="3">D10/300</f>
        <v>1</v>
      </c>
      <c r="E14" s="3">
        <f t="shared" si="3"/>
        <v>0</v>
      </c>
      <c r="F14" s="3">
        <f t="shared" si="3"/>
        <v>3.3333333333333335E-3</v>
      </c>
      <c r="G14" s="3">
        <f t="shared" si="3"/>
        <v>1.6666666666666667</v>
      </c>
      <c r="H14" s="3">
        <f t="shared" si="3"/>
        <v>0</v>
      </c>
      <c r="I14" s="3">
        <f t="shared" si="3"/>
        <v>-1.6666666666666667</v>
      </c>
      <c r="J14" s="3">
        <f t="shared" si="3"/>
        <v>0.46666666666666667</v>
      </c>
      <c r="K14" s="5">
        <f>J14/C14</f>
        <v>0.70000000000000007</v>
      </c>
    </row>
    <row r="15" spans="1:11" ht="15.75" x14ac:dyDescent="0.25">
      <c r="A15" s="2">
        <v>4</v>
      </c>
      <c r="B15" s="2" t="s">
        <v>4</v>
      </c>
      <c r="C15" s="3">
        <f>C11</f>
        <v>0</v>
      </c>
      <c r="D15" s="5">
        <f t="shared" ref="D15:J15" si="4">D11</f>
        <v>0</v>
      </c>
      <c r="E15" s="5">
        <f t="shared" si="4"/>
        <v>1</v>
      </c>
      <c r="F15" s="5">
        <f t="shared" si="4"/>
        <v>0</v>
      </c>
      <c r="G15" s="5">
        <f t="shared" si="4"/>
        <v>-1</v>
      </c>
      <c r="H15" s="5">
        <f t="shared" si="4"/>
        <v>0</v>
      </c>
      <c r="I15" s="5">
        <f t="shared" si="4"/>
        <v>1</v>
      </c>
      <c r="J15" s="5">
        <f t="shared" si="4"/>
        <v>0.2</v>
      </c>
      <c r="K15" s="5"/>
    </row>
    <row r="16" spans="1:11" ht="15.75" x14ac:dyDescent="0.25">
      <c r="A16" s="2">
        <v>0</v>
      </c>
      <c r="B16" s="2" t="s">
        <v>10</v>
      </c>
      <c r="C16" s="3">
        <f>C12-C14</f>
        <v>0.33333333333333337</v>
      </c>
      <c r="D16" s="5">
        <f t="shared" ref="D16:J16" si="5">D12-D14</f>
        <v>0</v>
      </c>
      <c r="E16" s="5">
        <f t="shared" si="5"/>
        <v>0</v>
      </c>
      <c r="F16" s="5">
        <f t="shared" si="5"/>
        <v>-3.3333333333333335E-3</v>
      </c>
      <c r="G16" s="5">
        <f t="shared" si="5"/>
        <v>-0.66666666666666674</v>
      </c>
      <c r="H16" s="5">
        <f t="shared" si="5"/>
        <v>1</v>
      </c>
      <c r="I16" s="5">
        <f t="shared" si="5"/>
        <v>0.66666666666666674</v>
      </c>
      <c r="J16" s="5">
        <f t="shared" si="5"/>
        <v>0.33333333333333337</v>
      </c>
      <c r="K16" s="5">
        <f>J16/C16</f>
        <v>1</v>
      </c>
    </row>
    <row r="17" spans="1:18" ht="15.75" x14ac:dyDescent="0.25">
      <c r="A17" s="4"/>
      <c r="B17" s="4" t="s">
        <v>16</v>
      </c>
      <c r="C17" s="4">
        <f>$A$14*C14-C4</f>
        <v>-1.3333333333333339</v>
      </c>
      <c r="D17" s="4">
        <f>$A$14*D14-D4</f>
        <v>0</v>
      </c>
      <c r="E17" s="4">
        <v>0</v>
      </c>
      <c r="F17" s="4">
        <f>$A$14*F14-F4</f>
        <v>2.3333333333333334E-2</v>
      </c>
      <c r="G17" s="4">
        <f>$A$14*G14+$A$15*G15</f>
        <v>7.6666666666666679</v>
      </c>
      <c r="H17" s="4">
        <f>$A$14*H14+$A$15*H15</f>
        <v>0</v>
      </c>
      <c r="I17" s="4">
        <f>100+A14*I14+A15*I15</f>
        <v>92.333333333333329</v>
      </c>
      <c r="J17" s="4">
        <f>$A$14*J14+$A$15*J15</f>
        <v>4.0666666666666664</v>
      </c>
      <c r="K17" s="5"/>
    </row>
    <row r="18" spans="1:18" ht="15.75" x14ac:dyDescent="0.25">
      <c r="A18" s="2">
        <v>6</v>
      </c>
      <c r="B18" s="2" t="s">
        <v>0</v>
      </c>
      <c r="C18" s="5">
        <f>C14/$C$14</f>
        <v>1</v>
      </c>
      <c r="D18" s="5">
        <f t="shared" ref="D18:J18" si="6">D14/$C$14</f>
        <v>1.5</v>
      </c>
      <c r="E18" s="5">
        <f t="shared" si="6"/>
        <v>0</v>
      </c>
      <c r="F18" s="5">
        <f t="shared" si="6"/>
        <v>5.000000000000001E-3</v>
      </c>
      <c r="G18" s="5">
        <f t="shared" si="6"/>
        <v>2.5000000000000004</v>
      </c>
      <c r="H18" s="5">
        <f t="shared" si="6"/>
        <v>0</v>
      </c>
      <c r="I18" s="5">
        <f t="shared" si="6"/>
        <v>-2.5000000000000004</v>
      </c>
      <c r="J18" s="5">
        <f t="shared" si="6"/>
        <v>0.70000000000000007</v>
      </c>
      <c r="K18" s="5"/>
    </row>
    <row r="19" spans="1:18" ht="15.75" x14ac:dyDescent="0.25">
      <c r="A19" s="2">
        <v>4</v>
      </c>
      <c r="B19" s="2" t="s">
        <v>4</v>
      </c>
      <c r="C19" s="5">
        <f>C15</f>
        <v>0</v>
      </c>
      <c r="D19" s="5">
        <f t="shared" ref="D19:J19" si="7">D15</f>
        <v>0</v>
      </c>
      <c r="E19" s="5">
        <f t="shared" si="7"/>
        <v>1</v>
      </c>
      <c r="F19" s="5">
        <f t="shared" si="7"/>
        <v>0</v>
      </c>
      <c r="G19" s="5">
        <f t="shared" si="7"/>
        <v>-1</v>
      </c>
      <c r="H19" s="5">
        <f t="shared" si="7"/>
        <v>0</v>
      </c>
      <c r="I19" s="5">
        <f t="shared" si="7"/>
        <v>1</v>
      </c>
      <c r="J19" s="5">
        <f t="shared" si="7"/>
        <v>0.2</v>
      </c>
      <c r="K19" s="5"/>
    </row>
    <row r="20" spans="1:18" ht="15.75" x14ac:dyDescent="0.25">
      <c r="A20" s="2">
        <v>0</v>
      </c>
      <c r="B20" s="2" t="s">
        <v>10</v>
      </c>
      <c r="C20" s="2">
        <f>C16-$C$16*C18</f>
        <v>0</v>
      </c>
      <c r="D20" s="2">
        <f t="shared" ref="D20:J20" si="8">D16-$C$16*D18</f>
        <v>-0.5</v>
      </c>
      <c r="E20" s="2">
        <f t="shared" si="8"/>
        <v>0</v>
      </c>
      <c r="F20" s="2">
        <f t="shared" si="8"/>
        <v>-5.000000000000001E-3</v>
      </c>
      <c r="G20" s="2">
        <f t="shared" si="8"/>
        <v>-1.5000000000000004</v>
      </c>
      <c r="H20" s="2">
        <f t="shared" si="8"/>
        <v>1</v>
      </c>
      <c r="I20" s="2">
        <f t="shared" si="8"/>
        <v>1.5000000000000004</v>
      </c>
      <c r="J20" s="2">
        <f t="shared" si="8"/>
        <v>9.9999999999999978E-2</v>
      </c>
      <c r="K20" s="2"/>
      <c r="R20">
        <f>2.5*0.2</f>
        <v>0.5</v>
      </c>
    </row>
    <row r="21" spans="1:18" ht="15.75" x14ac:dyDescent="0.25">
      <c r="A21" s="4"/>
      <c r="B21" s="4" t="s">
        <v>16</v>
      </c>
      <c r="C21" s="4">
        <f>$A$18*C18+$A$19*C19-C4</f>
        <v>0</v>
      </c>
      <c r="D21" s="4">
        <f>$A$18*D18+$A$19*D19-D4</f>
        <v>2</v>
      </c>
      <c r="E21" s="4">
        <f t="shared" ref="E21:J21" si="9">$A$18*E18+$A$19*E19-E4</f>
        <v>0</v>
      </c>
      <c r="F21" s="4">
        <f t="shared" si="9"/>
        <v>3.0000000000000006E-2</v>
      </c>
      <c r="G21" s="4">
        <f t="shared" si="9"/>
        <v>11.000000000000004</v>
      </c>
      <c r="H21" s="4">
        <f t="shared" si="9"/>
        <v>0</v>
      </c>
      <c r="I21" s="4">
        <f>100+A18*I18</f>
        <v>85</v>
      </c>
      <c r="J21" s="4">
        <f t="shared" si="9"/>
        <v>5</v>
      </c>
      <c r="K21" s="2"/>
    </row>
    <row r="22" spans="1:18" x14ac:dyDescent="0.2">
      <c r="R22">
        <f>0.005*240</f>
        <v>1.2</v>
      </c>
    </row>
    <row r="25" spans="1:18" x14ac:dyDescent="0.2">
      <c r="A25" s="8" t="s">
        <v>26</v>
      </c>
    </row>
    <row r="26" spans="1:18" x14ac:dyDescent="0.2">
      <c r="E26" s="7" t="s">
        <v>27</v>
      </c>
      <c r="I26" s="7" t="s">
        <v>28</v>
      </c>
    </row>
    <row r="27" spans="1:18" ht="15.75" x14ac:dyDescent="0.25">
      <c r="E27" s="5">
        <v>0.7</v>
      </c>
      <c r="F27" s="6"/>
      <c r="G27" s="5">
        <v>1.5</v>
      </c>
      <c r="I27">
        <f>E27+$F$28*G27</f>
        <v>0.54999999999999993</v>
      </c>
    </row>
    <row r="28" spans="1:18" ht="15.75" x14ac:dyDescent="0.25">
      <c r="E28" s="5">
        <v>0.2</v>
      </c>
      <c r="F28">
        <v>-0.1</v>
      </c>
      <c r="G28" s="5">
        <v>0</v>
      </c>
      <c r="I28">
        <f>E28+$F$28*G28</f>
        <v>0.2</v>
      </c>
    </row>
    <row r="29" spans="1:18" ht="15.75" x14ac:dyDescent="0.25">
      <c r="E29" s="2">
        <v>0.1</v>
      </c>
      <c r="G29" s="2">
        <v>-0.5</v>
      </c>
      <c r="I29">
        <f>E29+$F$28*G29</f>
        <v>0.15000000000000002</v>
      </c>
    </row>
    <row r="30" spans="1:18" ht="15.75" x14ac:dyDescent="0.25">
      <c r="E30" s="4">
        <v>5</v>
      </c>
      <c r="G30" s="4">
        <v>2</v>
      </c>
      <c r="I30">
        <f>E30+$F$28*G30</f>
        <v>4.8</v>
      </c>
    </row>
    <row r="32" spans="1:18" x14ac:dyDescent="0.2">
      <c r="A32" s="9" t="s">
        <v>21</v>
      </c>
    </row>
    <row r="33" spans="1:13" x14ac:dyDescent="0.2">
      <c r="A33" t="s">
        <v>19</v>
      </c>
      <c r="C33">
        <f>J18/D18</f>
        <v>0.46666666666666673</v>
      </c>
      <c r="D33" s="6" t="s">
        <v>29</v>
      </c>
    </row>
    <row r="34" spans="1:13" x14ac:dyDescent="0.2">
      <c r="C34" s="1" t="e">
        <f t="shared" ref="C34:C35" si="10">J19/D19</f>
        <v>#DIV/0!</v>
      </c>
    </row>
    <row r="35" spans="1:13" x14ac:dyDescent="0.2">
      <c r="C35" s="1">
        <f t="shared" si="10"/>
        <v>-0.19999999999999996</v>
      </c>
    </row>
    <row r="36" spans="1:13" s="1" customFormat="1" x14ac:dyDescent="0.2"/>
    <row r="37" spans="1:13" s="1" customFormat="1" x14ac:dyDescent="0.2"/>
    <row r="38" spans="1:13" s="1" customFormat="1" x14ac:dyDescent="0.2"/>
    <row r="39" spans="1:13" s="1" customFormat="1" x14ac:dyDescent="0.2"/>
    <row r="40" spans="1:13" s="1" customFormat="1" x14ac:dyDescent="0.2"/>
    <row r="41" spans="1:13" ht="14.25" x14ac:dyDescent="0.2">
      <c r="A41" s="9" t="s">
        <v>20</v>
      </c>
      <c r="K41" s="6" t="s">
        <v>30</v>
      </c>
    </row>
    <row r="42" spans="1:13" ht="15.75" x14ac:dyDescent="0.25">
      <c r="C42" s="5">
        <v>0.7</v>
      </c>
      <c r="E42" s="5">
        <f>K42</f>
        <v>5.000000000000001E-3</v>
      </c>
      <c r="G42">
        <f>C42-$D$43*E42</f>
        <v>0.64999999999999991</v>
      </c>
      <c r="K42">
        <f>F18</f>
        <v>5.000000000000001E-3</v>
      </c>
      <c r="L42">
        <f>I18</f>
        <v>-2.5000000000000004</v>
      </c>
      <c r="M42">
        <f>H18</f>
        <v>0</v>
      </c>
    </row>
    <row r="43" spans="1:13" ht="15.75" x14ac:dyDescent="0.25">
      <c r="C43" s="5">
        <v>0.2</v>
      </c>
      <c r="D43">
        <v>10</v>
      </c>
      <c r="E43" s="5">
        <f t="shared" ref="E43:E44" si="11">K43</f>
        <v>0</v>
      </c>
      <c r="G43">
        <f>C43-$D$43*E43</f>
        <v>0.2</v>
      </c>
      <c r="K43" s="1">
        <f>F19</f>
        <v>0</v>
      </c>
      <c r="L43" s="1">
        <f>I19</f>
        <v>1</v>
      </c>
      <c r="M43" s="1">
        <f>H19</f>
        <v>0</v>
      </c>
    </row>
    <row r="44" spans="1:13" ht="15.75" x14ac:dyDescent="0.25">
      <c r="C44" s="2">
        <v>0.1</v>
      </c>
      <c r="E44" s="5">
        <f t="shared" si="11"/>
        <v>-5.000000000000001E-3</v>
      </c>
      <c r="G44">
        <f>C44-$D$43*E44</f>
        <v>0.15000000000000002</v>
      </c>
      <c r="K44" s="1">
        <f>F20</f>
        <v>-5.000000000000001E-3</v>
      </c>
      <c r="L44" s="1">
        <f>I20</f>
        <v>1.5000000000000004</v>
      </c>
      <c r="M44" s="1">
        <f>H20</f>
        <v>1</v>
      </c>
    </row>
    <row r="45" spans="1:13" ht="15.75" x14ac:dyDescent="0.25">
      <c r="C45" s="4">
        <v>5</v>
      </c>
      <c r="E45" s="4">
        <f>F21</f>
        <v>3.0000000000000006E-2</v>
      </c>
      <c r="G45">
        <f>C45-$D$43*E45</f>
        <v>4.7</v>
      </c>
      <c r="H45">
        <f>+G42*A18+G43*A19</f>
        <v>4.6999999999999993</v>
      </c>
    </row>
    <row r="47" spans="1:13" ht="15.75" x14ac:dyDescent="0.25">
      <c r="A47" s="5">
        <v>0.7</v>
      </c>
      <c r="C47" s="5">
        <f>K42</f>
        <v>5.000000000000001E-3</v>
      </c>
      <c r="E47">
        <f>A47-$B$48*C47</f>
        <v>0.75</v>
      </c>
    </row>
    <row r="48" spans="1:13" ht="15.75" x14ac:dyDescent="0.25">
      <c r="A48" s="5">
        <v>0.2</v>
      </c>
      <c r="B48">
        <v>-10</v>
      </c>
      <c r="C48" s="5">
        <f>K43</f>
        <v>0</v>
      </c>
      <c r="E48">
        <f>A48-$B$48*C48</f>
        <v>0.2</v>
      </c>
    </row>
    <row r="49" spans="1:6" ht="15.75" x14ac:dyDescent="0.25">
      <c r="A49" s="2">
        <v>0.1</v>
      </c>
      <c r="C49" s="5">
        <f>K44</f>
        <v>-5.000000000000001E-3</v>
      </c>
      <c r="E49">
        <f>A49-$B$48*C49</f>
        <v>4.9999999999999996E-2</v>
      </c>
    </row>
    <row r="50" spans="1:6" ht="15.75" x14ac:dyDescent="0.25">
      <c r="A50" s="4">
        <v>5</v>
      </c>
      <c r="C50" s="4">
        <f>F21</f>
        <v>3.0000000000000006E-2</v>
      </c>
      <c r="E50">
        <f>A50-$B$48*C50</f>
        <v>5.3</v>
      </c>
    </row>
    <row r="52" spans="1:6" x14ac:dyDescent="0.2">
      <c r="A52" s="9" t="s">
        <v>22</v>
      </c>
      <c r="C52" t="s">
        <v>19</v>
      </c>
    </row>
    <row r="53" spans="1:6" x14ac:dyDescent="0.2">
      <c r="C53">
        <f>J18/F18</f>
        <v>140</v>
      </c>
      <c r="E53" t="s">
        <v>23</v>
      </c>
    </row>
    <row r="54" spans="1:6" x14ac:dyDescent="0.2">
      <c r="C54" s="1" t="e">
        <f>J19/F19</f>
        <v>#DIV/0!</v>
      </c>
      <c r="E54" t="s">
        <v>24</v>
      </c>
    </row>
    <row r="55" spans="1:6" x14ac:dyDescent="0.2">
      <c r="C55" s="1">
        <f>J20/F20</f>
        <v>-19.999999999999993</v>
      </c>
    </row>
    <row r="56" spans="1:6" ht="15.75" x14ac:dyDescent="0.25">
      <c r="B56" s="5">
        <v>0.7</v>
      </c>
      <c r="D56" s="5">
        <v>5.0000000000000001E-3</v>
      </c>
      <c r="F56">
        <v>0</v>
      </c>
    </row>
    <row r="57" spans="1:6" ht="15.75" x14ac:dyDescent="0.25">
      <c r="B57" s="5">
        <v>0.2</v>
      </c>
      <c r="C57">
        <v>140</v>
      </c>
      <c r="D57" s="5">
        <v>0</v>
      </c>
      <c r="F57">
        <v>0.2</v>
      </c>
    </row>
    <row r="58" spans="1:6" ht="15.75" x14ac:dyDescent="0.25">
      <c r="B58" s="2">
        <v>0.1</v>
      </c>
      <c r="D58" s="2">
        <v>-5.0000000000000001E-3</v>
      </c>
      <c r="F58">
        <v>0.8</v>
      </c>
    </row>
    <row r="59" spans="1:6" ht="15.75" x14ac:dyDescent="0.25">
      <c r="B59" s="4">
        <v>5</v>
      </c>
      <c r="D59" s="4">
        <v>0.03</v>
      </c>
      <c r="F59">
        <v>0.8</v>
      </c>
    </row>
    <row r="61" spans="1:6" ht="15.75" x14ac:dyDescent="0.25">
      <c r="B61" s="5">
        <v>0.7</v>
      </c>
      <c r="D61" s="5">
        <v>5.0000000000000001E-3</v>
      </c>
      <c r="F61">
        <v>0.8</v>
      </c>
    </row>
    <row r="62" spans="1:6" ht="15.75" x14ac:dyDescent="0.25">
      <c r="B62" s="5">
        <v>0.2</v>
      </c>
      <c r="C62">
        <v>-20</v>
      </c>
      <c r="D62" s="5">
        <v>0</v>
      </c>
      <c r="F62">
        <v>0.2</v>
      </c>
    </row>
    <row r="63" spans="1:6" ht="15.75" x14ac:dyDescent="0.25">
      <c r="B63" s="2">
        <v>0.1</v>
      </c>
      <c r="D63" s="2">
        <v>-5.0000000000000001E-3</v>
      </c>
      <c r="F63">
        <v>0</v>
      </c>
    </row>
    <row r="64" spans="1:6" ht="15.75" x14ac:dyDescent="0.25">
      <c r="B64" s="4">
        <v>5</v>
      </c>
      <c r="D64" s="4">
        <v>0.03</v>
      </c>
      <c r="F64">
        <v>5.6</v>
      </c>
    </row>
    <row r="66" spans="1:2" x14ac:dyDescent="0.2">
      <c r="A66" s="9" t="s">
        <v>25</v>
      </c>
    </row>
    <row r="67" spans="1:2" s="1" customFormat="1" x14ac:dyDescent="0.2">
      <c r="A67"/>
      <c r="B67" t="s">
        <v>31</v>
      </c>
    </row>
    <row r="68" spans="1:2" s="1" customFormat="1" x14ac:dyDescent="0.2">
      <c r="A68"/>
    </row>
  </sheetData>
  <phoneticPr fontId="2" type="noConversion"/>
  <pageMargins left="0.78740157499999996" right="0.78740157499999996" top="0.984251969" bottom="0.984251969" header="0.4921259845" footer="0.492125984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G18"/>
  <sheetViews>
    <sheetView workbookViewId="0">
      <selection activeCell="G15" sqref="G15"/>
    </sheetView>
  </sheetViews>
  <sheetFormatPr defaultRowHeight="12.75" x14ac:dyDescent="0.2"/>
  <sheetData>
    <row r="9" spans="1:7" x14ac:dyDescent="0.2">
      <c r="A9" s="6" t="s">
        <v>94</v>
      </c>
    </row>
    <row r="11" spans="1:7" ht="15.75" x14ac:dyDescent="0.25">
      <c r="B11" s="11" t="s">
        <v>37</v>
      </c>
      <c r="C11">
        <v>6</v>
      </c>
      <c r="D11">
        <v>7</v>
      </c>
      <c r="E11">
        <v>4</v>
      </c>
    </row>
    <row r="12" spans="1:7" x14ac:dyDescent="0.2">
      <c r="C12" s="10">
        <v>0.79999999999999982</v>
      </c>
      <c r="D12" s="10">
        <v>0</v>
      </c>
      <c r="E12" s="10">
        <v>0.2</v>
      </c>
    </row>
    <row r="13" spans="1:7" x14ac:dyDescent="0.2">
      <c r="C13" s="6" t="s">
        <v>33</v>
      </c>
      <c r="D13" s="6" t="s">
        <v>34</v>
      </c>
      <c r="E13" s="6" t="s">
        <v>35</v>
      </c>
      <c r="F13" s="6" t="s">
        <v>36</v>
      </c>
      <c r="G13" s="6" t="s">
        <v>32</v>
      </c>
    </row>
    <row r="14" spans="1:7" ht="15.75" x14ac:dyDescent="0.25">
      <c r="B14" s="2" t="s">
        <v>13</v>
      </c>
      <c r="C14">
        <v>200</v>
      </c>
      <c r="D14">
        <v>300</v>
      </c>
      <c r="E14">
        <v>500</v>
      </c>
      <c r="F14">
        <f>C14*C12+D14*D12+E14*E12</f>
        <v>260</v>
      </c>
      <c r="G14">
        <v>260</v>
      </c>
    </row>
    <row r="15" spans="1:7" ht="15.75" x14ac:dyDescent="0.25">
      <c r="B15" s="2" t="s">
        <v>14</v>
      </c>
      <c r="C15">
        <v>0</v>
      </c>
      <c r="D15">
        <v>0</v>
      </c>
      <c r="E15">
        <v>1</v>
      </c>
      <c r="F15">
        <f>+E15*E12</f>
        <v>0.2</v>
      </c>
      <c r="G15">
        <v>0.2</v>
      </c>
    </row>
    <row r="16" spans="1:7" ht="15.75" x14ac:dyDescent="0.25">
      <c r="B16" s="2" t="s">
        <v>15</v>
      </c>
      <c r="C16">
        <v>1</v>
      </c>
      <c r="D16">
        <v>1</v>
      </c>
      <c r="E16">
        <v>1</v>
      </c>
      <c r="F16">
        <f>+C16*C12+D16*D12+E16*E12</f>
        <v>0.99999999999999978</v>
      </c>
      <c r="G16">
        <v>1</v>
      </c>
    </row>
    <row r="18" spans="6:7" x14ac:dyDescent="0.2">
      <c r="F18" s="6" t="s">
        <v>38</v>
      </c>
      <c r="G18" s="10">
        <f>C11*C12+D11*D12+E11*E12</f>
        <v>5.5999999999999988</v>
      </c>
    </row>
  </sheetData>
  <phoneticPr fontId="2" type="noConversion"/>
  <pageMargins left="0.78740157499999996" right="0.78740157499999996" top="0.984251969" bottom="0.984251969" header="0.4921259845" footer="0.492125984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4C5D-0DF1-4EDA-AA6E-2A6D6073CB33}">
  <dimension ref="A1:G30"/>
  <sheetViews>
    <sheetView showGridLines="0" workbookViewId="0">
      <selection activeCell="L20" sqref="L20"/>
    </sheetView>
  </sheetViews>
  <sheetFormatPr defaultRowHeight="12.75" x14ac:dyDescent="0.2"/>
  <cols>
    <col min="1" max="1" width="2.28515625" customWidth="1"/>
    <col min="2" max="2" width="6.140625" bestFit="1" customWidth="1"/>
    <col min="3" max="3" width="12.85546875" bestFit="1" customWidth="1"/>
    <col min="4" max="4" width="14.28515625" bestFit="1" customWidth="1"/>
    <col min="5" max="5" width="14" bestFit="1" customWidth="1"/>
    <col min="6" max="6" width="10.5703125" bestFit="1" customWidth="1"/>
    <col min="7" max="7" width="6" bestFit="1" customWidth="1"/>
  </cols>
  <sheetData>
    <row r="1" spans="1:5" x14ac:dyDescent="0.2">
      <c r="A1" s="7" t="s">
        <v>39</v>
      </c>
    </row>
    <row r="2" spans="1:5" x14ac:dyDescent="0.2">
      <c r="A2" s="7" t="s">
        <v>40</v>
      </c>
    </row>
    <row r="3" spans="1:5" x14ac:dyDescent="0.2">
      <c r="A3" s="7" t="s">
        <v>41</v>
      </c>
    </row>
    <row r="4" spans="1:5" x14ac:dyDescent="0.2">
      <c r="A4" s="7" t="s">
        <v>42</v>
      </c>
    </row>
    <row r="5" spans="1:5" x14ac:dyDescent="0.2">
      <c r="A5" s="7" t="s">
        <v>43</v>
      </c>
    </row>
    <row r="6" spans="1:5" x14ac:dyDescent="0.2">
      <c r="A6" s="7"/>
      <c r="B6" t="s">
        <v>44</v>
      </c>
    </row>
    <row r="7" spans="1:5" x14ac:dyDescent="0.2">
      <c r="A7" s="7"/>
      <c r="B7" t="s">
        <v>45</v>
      </c>
    </row>
    <row r="8" spans="1:5" x14ac:dyDescent="0.2">
      <c r="A8" s="7"/>
      <c r="B8" t="s">
        <v>46</v>
      </c>
    </row>
    <row r="9" spans="1:5" x14ac:dyDescent="0.2">
      <c r="A9" s="7" t="s">
        <v>47</v>
      </c>
    </row>
    <row r="10" spans="1:5" x14ac:dyDescent="0.2">
      <c r="B10" t="s">
        <v>48</v>
      </c>
    </row>
    <row r="11" spans="1:5" x14ac:dyDescent="0.2">
      <c r="B11" t="s">
        <v>49</v>
      </c>
    </row>
    <row r="14" spans="1:5" ht="13.5" thickBot="1" x14ac:dyDescent="0.25">
      <c r="A14" t="s">
        <v>50</v>
      </c>
    </row>
    <row r="15" spans="1:5" ht="13.5" thickBot="1" x14ac:dyDescent="0.25">
      <c r="B15" s="13" t="s">
        <v>51</v>
      </c>
      <c r="C15" s="13" t="s">
        <v>52</v>
      </c>
      <c r="D15" s="13" t="s">
        <v>53</v>
      </c>
      <c r="E15" s="13" t="s">
        <v>54</v>
      </c>
    </row>
    <row r="16" spans="1:5" ht="13.5" thickBot="1" x14ac:dyDescent="0.25">
      <c r="B16" s="12" t="s">
        <v>62</v>
      </c>
      <c r="C16" s="12" t="s">
        <v>63</v>
      </c>
      <c r="D16" s="15">
        <v>0</v>
      </c>
      <c r="E16" s="15">
        <v>4.9999999999999991</v>
      </c>
    </row>
    <row r="19" spans="1:7" ht="13.5" thickBot="1" x14ac:dyDescent="0.25">
      <c r="A19" t="s">
        <v>55</v>
      </c>
    </row>
    <row r="20" spans="1:7" ht="13.5" thickBot="1" x14ac:dyDescent="0.25">
      <c r="B20" s="13" t="s">
        <v>51</v>
      </c>
      <c r="C20" s="13" t="s">
        <v>52</v>
      </c>
      <c r="D20" s="13" t="s">
        <v>53</v>
      </c>
      <c r="E20" s="13" t="s">
        <v>54</v>
      </c>
      <c r="F20" s="13" t="s">
        <v>56</v>
      </c>
    </row>
    <row r="21" spans="1:7" x14ac:dyDescent="0.2">
      <c r="B21" s="14" t="s">
        <v>64</v>
      </c>
      <c r="C21" s="14"/>
      <c r="D21" s="16">
        <v>0</v>
      </c>
      <c r="E21" s="16">
        <v>0.7</v>
      </c>
      <c r="F21" s="14" t="s">
        <v>65</v>
      </c>
    </row>
    <row r="22" spans="1:7" x14ac:dyDescent="0.2">
      <c r="B22" s="14" t="s">
        <v>66</v>
      </c>
      <c r="C22" s="14"/>
      <c r="D22" s="16">
        <v>0</v>
      </c>
      <c r="E22" s="16">
        <v>0</v>
      </c>
      <c r="F22" s="14" t="s">
        <v>65</v>
      </c>
    </row>
    <row r="23" spans="1:7" ht="13.5" thickBot="1" x14ac:dyDescent="0.25">
      <c r="B23" s="12" t="s">
        <v>67</v>
      </c>
      <c r="C23" s="12"/>
      <c r="D23" s="15">
        <v>0</v>
      </c>
      <c r="E23" s="15">
        <v>0.2</v>
      </c>
      <c r="F23" s="12" t="s">
        <v>65</v>
      </c>
    </row>
    <row r="26" spans="1:7" ht="13.5" thickBot="1" x14ac:dyDescent="0.25">
      <c r="A26" t="s">
        <v>57</v>
      </c>
    </row>
    <row r="27" spans="1:7" ht="13.5" thickBot="1" x14ac:dyDescent="0.25">
      <c r="B27" s="13" t="s">
        <v>51</v>
      </c>
      <c r="C27" s="13" t="s">
        <v>52</v>
      </c>
      <c r="D27" s="13" t="s">
        <v>58</v>
      </c>
      <c r="E27" s="13" t="s">
        <v>59</v>
      </c>
      <c r="F27" s="13" t="s">
        <v>60</v>
      </c>
      <c r="G27" s="13" t="s">
        <v>61</v>
      </c>
    </row>
    <row r="28" spans="1:7" x14ac:dyDescent="0.2">
      <c r="B28" s="14" t="s">
        <v>68</v>
      </c>
      <c r="C28" s="14" t="s">
        <v>69</v>
      </c>
      <c r="D28" s="16">
        <v>240</v>
      </c>
      <c r="E28" s="14" t="s">
        <v>70</v>
      </c>
      <c r="F28" s="14" t="s">
        <v>71</v>
      </c>
      <c r="G28" s="14">
        <v>0</v>
      </c>
    </row>
    <row r="29" spans="1:7" x14ac:dyDescent="0.2">
      <c r="B29" s="14" t="s">
        <v>72</v>
      </c>
      <c r="C29" s="14" t="s">
        <v>73</v>
      </c>
      <c r="D29" s="16">
        <v>0.2</v>
      </c>
      <c r="E29" s="14" t="s">
        <v>74</v>
      </c>
      <c r="F29" s="14" t="s">
        <v>71</v>
      </c>
      <c r="G29" s="16">
        <v>0</v>
      </c>
    </row>
    <row r="30" spans="1:7" ht="13.5" thickBot="1" x14ac:dyDescent="0.25">
      <c r="B30" s="12" t="s">
        <v>75</v>
      </c>
      <c r="C30" s="12" t="s">
        <v>76</v>
      </c>
      <c r="D30" s="15">
        <v>0.89999999999999991</v>
      </c>
      <c r="E30" s="12" t="s">
        <v>77</v>
      </c>
      <c r="F30" s="12" t="s">
        <v>78</v>
      </c>
      <c r="G30" s="12">
        <v>0.10000000000000009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EBCE-AB60-4694-B633-5F0659EBD4AF}">
  <dimension ref="A1:H18"/>
  <sheetViews>
    <sheetView showGridLines="0" workbookViewId="0">
      <selection activeCell="J32" sqref="J32"/>
    </sheetView>
  </sheetViews>
  <sheetFormatPr defaultRowHeight="12.75" x14ac:dyDescent="0.2"/>
  <cols>
    <col min="1" max="1" width="2.28515625" customWidth="1"/>
    <col min="2" max="2" width="6.28515625" bestFit="1" customWidth="1"/>
    <col min="3" max="3" width="12.85546875" bestFit="1" customWidth="1"/>
    <col min="4" max="4" width="6.28515625" bestFit="1" customWidth="1"/>
    <col min="5" max="5" width="9" bestFit="1" customWidth="1"/>
    <col min="6" max="6" width="10.7109375" bestFit="1" customWidth="1"/>
    <col min="7" max="7" width="10.140625" bestFit="1" customWidth="1"/>
    <col min="8" max="8" width="12" bestFit="1" customWidth="1"/>
  </cols>
  <sheetData>
    <row r="1" spans="1:8" x14ac:dyDescent="0.2">
      <c r="A1" s="7" t="s">
        <v>79</v>
      </c>
    </row>
    <row r="2" spans="1:8" x14ac:dyDescent="0.2">
      <c r="A2" s="7" t="s">
        <v>40</v>
      </c>
    </row>
    <row r="3" spans="1:8" x14ac:dyDescent="0.2">
      <c r="A3" s="7" t="s">
        <v>80</v>
      </c>
    </row>
    <row r="6" spans="1:8" ht="13.5" thickBot="1" x14ac:dyDescent="0.25">
      <c r="A6" t="s">
        <v>55</v>
      </c>
    </row>
    <row r="7" spans="1:8" x14ac:dyDescent="0.2">
      <c r="B7" s="17"/>
      <c r="C7" s="17"/>
      <c r="D7" s="17" t="s">
        <v>81</v>
      </c>
      <c r="E7" s="17" t="s">
        <v>83</v>
      </c>
      <c r="F7" s="17" t="s">
        <v>85</v>
      </c>
      <c r="G7" s="17" t="s">
        <v>87</v>
      </c>
      <c r="H7" s="17" t="s">
        <v>87</v>
      </c>
    </row>
    <row r="8" spans="1:8" ht="13.5" thickBot="1" x14ac:dyDescent="0.25">
      <c r="B8" s="18" t="s">
        <v>51</v>
      </c>
      <c r="C8" s="18" t="s">
        <v>52</v>
      </c>
      <c r="D8" s="18" t="s">
        <v>82</v>
      </c>
      <c r="E8" s="18" t="s">
        <v>84</v>
      </c>
      <c r="F8" s="18" t="s">
        <v>86</v>
      </c>
      <c r="G8" s="18" t="s">
        <v>88</v>
      </c>
      <c r="H8" s="18" t="s">
        <v>89</v>
      </c>
    </row>
    <row r="9" spans="1:8" x14ac:dyDescent="0.2">
      <c r="B9" s="14" t="s">
        <v>64</v>
      </c>
      <c r="C9" s="14"/>
      <c r="D9" s="14">
        <v>0.7</v>
      </c>
      <c r="E9" s="14">
        <v>0</v>
      </c>
      <c r="F9" s="14">
        <v>6</v>
      </c>
      <c r="G9" s="14">
        <v>1E+30</v>
      </c>
      <c r="H9" s="14">
        <v>1.3333333333333335</v>
      </c>
    </row>
    <row r="10" spans="1:8" x14ac:dyDescent="0.2">
      <c r="B10" s="14" t="s">
        <v>66</v>
      </c>
      <c r="C10" s="14"/>
      <c r="D10" s="14">
        <v>0</v>
      </c>
      <c r="E10" s="14">
        <v>-2</v>
      </c>
      <c r="F10" s="14">
        <v>7</v>
      </c>
      <c r="G10" s="14">
        <v>2</v>
      </c>
      <c r="H10" s="14">
        <v>1E+30</v>
      </c>
    </row>
    <row r="11" spans="1:8" ht="13.5" thickBot="1" x14ac:dyDescent="0.25">
      <c r="B11" s="12" t="s">
        <v>67</v>
      </c>
      <c r="C11" s="12"/>
      <c r="D11" s="12">
        <v>0.2</v>
      </c>
      <c r="E11" s="12">
        <v>0</v>
      </c>
      <c r="F11" s="12">
        <v>4</v>
      </c>
      <c r="G11" s="12">
        <v>11</v>
      </c>
      <c r="H11" s="12">
        <v>1E+30</v>
      </c>
    </row>
    <row r="13" spans="1:8" ht="13.5" thickBot="1" x14ac:dyDescent="0.25">
      <c r="A13" t="s">
        <v>57</v>
      </c>
    </row>
    <row r="14" spans="1:8" x14ac:dyDescent="0.2">
      <c r="B14" s="17"/>
      <c r="C14" s="17"/>
      <c r="D14" s="17" t="s">
        <v>81</v>
      </c>
      <c r="E14" s="17" t="s">
        <v>90</v>
      </c>
      <c r="F14" s="17" t="s">
        <v>92</v>
      </c>
      <c r="G14" s="17" t="s">
        <v>87</v>
      </c>
      <c r="H14" s="17" t="s">
        <v>87</v>
      </c>
    </row>
    <row r="15" spans="1:8" ht="13.5" thickBot="1" x14ac:dyDescent="0.25">
      <c r="B15" s="18" t="s">
        <v>51</v>
      </c>
      <c r="C15" s="18" t="s">
        <v>52</v>
      </c>
      <c r="D15" s="18" t="s">
        <v>82</v>
      </c>
      <c r="E15" s="18" t="s">
        <v>91</v>
      </c>
      <c r="F15" s="18" t="s">
        <v>93</v>
      </c>
      <c r="G15" s="18" t="s">
        <v>88</v>
      </c>
      <c r="H15" s="18" t="s">
        <v>89</v>
      </c>
    </row>
    <row r="16" spans="1:8" x14ac:dyDescent="0.2">
      <c r="B16" s="14" t="s">
        <v>68</v>
      </c>
      <c r="C16" s="14" t="s">
        <v>69</v>
      </c>
      <c r="D16" s="14">
        <v>240</v>
      </c>
      <c r="E16" s="14">
        <v>0.03</v>
      </c>
      <c r="F16" s="14">
        <v>240</v>
      </c>
      <c r="G16" s="14">
        <v>20.000000000000014</v>
      </c>
      <c r="H16" s="14">
        <v>140</v>
      </c>
    </row>
    <row r="17" spans="2:8" x14ac:dyDescent="0.2">
      <c r="B17" s="14" t="s">
        <v>72</v>
      </c>
      <c r="C17" s="14" t="s">
        <v>73</v>
      </c>
      <c r="D17" s="14">
        <v>0.2</v>
      </c>
      <c r="E17" s="14">
        <v>-11</v>
      </c>
      <c r="F17" s="14">
        <v>0.2</v>
      </c>
      <c r="G17" s="14">
        <v>0.28000000000000003</v>
      </c>
      <c r="H17" s="14">
        <v>6.6666666666666721E-2</v>
      </c>
    </row>
    <row r="18" spans="2:8" ht="13.5" thickBot="1" x14ac:dyDescent="0.25">
      <c r="B18" s="12" t="s">
        <v>75</v>
      </c>
      <c r="C18" s="12" t="s">
        <v>76</v>
      </c>
      <c r="D18" s="12">
        <v>0.89999999999999991</v>
      </c>
      <c r="E18" s="12">
        <v>0</v>
      </c>
      <c r="F18" s="12">
        <v>1</v>
      </c>
      <c r="G18" s="12">
        <v>1E+30</v>
      </c>
      <c r="H18" s="12">
        <v>0.10000000000000006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62CE-AC2C-49B9-BF5C-57C6A2B09F79}">
  <dimension ref="A1:A8"/>
  <sheetViews>
    <sheetView workbookViewId="0">
      <selection activeCell="A3" sqref="A3"/>
    </sheetView>
  </sheetViews>
  <sheetFormatPr defaultRowHeight="12.75" x14ac:dyDescent="0.2"/>
  <sheetData>
    <row r="1" spans="1:1" x14ac:dyDescent="0.2">
      <c r="A1" s="8" t="s">
        <v>96</v>
      </c>
    </row>
    <row r="2" spans="1:1" x14ac:dyDescent="0.2">
      <c r="A2" s="6" t="s">
        <v>101</v>
      </c>
    </row>
    <row r="3" spans="1:1" x14ac:dyDescent="0.2">
      <c r="A3" s="6"/>
    </row>
    <row r="6" spans="1:1" x14ac:dyDescent="0.2">
      <c r="A6" s="8" t="s">
        <v>95</v>
      </c>
    </row>
    <row r="7" spans="1:1" x14ac:dyDescent="0.2">
      <c r="A7" s="6" t="s">
        <v>97</v>
      </c>
    </row>
    <row r="8" spans="1:1" x14ac:dyDescent="0.2">
      <c r="A8" s="6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7327-26AE-4890-A1CC-506AE6631A68}">
  <dimension ref="A1:G30"/>
  <sheetViews>
    <sheetView showGridLines="0" workbookViewId="0"/>
  </sheetViews>
  <sheetFormatPr defaultRowHeight="12.75" x14ac:dyDescent="0.2"/>
  <cols>
    <col min="1" max="1" width="2.28515625" customWidth="1"/>
    <col min="2" max="2" width="6.140625" bestFit="1" customWidth="1"/>
    <col min="3" max="3" width="12.85546875" bestFit="1" customWidth="1"/>
    <col min="4" max="4" width="14.28515625" bestFit="1" customWidth="1"/>
    <col min="5" max="5" width="14" bestFit="1" customWidth="1"/>
    <col min="6" max="6" width="7.42578125" bestFit="1" customWidth="1"/>
    <col min="7" max="7" width="6" bestFit="1" customWidth="1"/>
  </cols>
  <sheetData>
    <row r="1" spans="1:5" x14ac:dyDescent="0.2">
      <c r="A1" s="7" t="s">
        <v>39</v>
      </c>
    </row>
    <row r="2" spans="1:5" x14ac:dyDescent="0.2">
      <c r="A2" s="7" t="s">
        <v>40</v>
      </c>
    </row>
    <row r="3" spans="1:5" x14ac:dyDescent="0.2">
      <c r="A3" s="7" t="s">
        <v>105</v>
      </c>
    </row>
    <row r="4" spans="1:5" x14ac:dyDescent="0.2">
      <c r="A4" s="7" t="s">
        <v>42</v>
      </c>
    </row>
    <row r="5" spans="1:5" x14ac:dyDescent="0.2">
      <c r="A5" s="7" t="s">
        <v>43</v>
      </c>
    </row>
    <row r="6" spans="1:5" x14ac:dyDescent="0.2">
      <c r="A6" s="7"/>
      <c r="B6" t="s">
        <v>44</v>
      </c>
    </row>
    <row r="7" spans="1:5" x14ac:dyDescent="0.2">
      <c r="A7" s="7"/>
      <c r="B7" t="s">
        <v>45</v>
      </c>
    </row>
    <row r="8" spans="1:5" x14ac:dyDescent="0.2">
      <c r="A8" s="7"/>
      <c r="B8" t="s">
        <v>46</v>
      </c>
    </row>
    <row r="9" spans="1:5" x14ac:dyDescent="0.2">
      <c r="A9" s="7" t="s">
        <v>47</v>
      </c>
    </row>
    <row r="10" spans="1:5" x14ac:dyDescent="0.2">
      <c r="B10" t="s">
        <v>100</v>
      </c>
    </row>
    <row r="11" spans="1:5" x14ac:dyDescent="0.2">
      <c r="B11" t="s">
        <v>49</v>
      </c>
    </row>
    <row r="14" spans="1:5" ht="13.5" thickBot="1" x14ac:dyDescent="0.25">
      <c r="A14" t="s">
        <v>50</v>
      </c>
    </row>
    <row r="15" spans="1:5" ht="13.5" thickBot="1" x14ac:dyDescent="0.25">
      <c r="B15" s="13" t="s">
        <v>51</v>
      </c>
      <c r="C15" s="13" t="s">
        <v>52</v>
      </c>
      <c r="D15" s="13" t="s">
        <v>53</v>
      </c>
      <c r="E15" s="13" t="s">
        <v>54</v>
      </c>
    </row>
    <row r="16" spans="1:5" ht="13.5" thickBot="1" x14ac:dyDescent="0.25">
      <c r="B16" s="12" t="s">
        <v>62</v>
      </c>
      <c r="C16" s="12" t="s">
        <v>63</v>
      </c>
      <c r="D16" s="15">
        <v>4.0666666666666673</v>
      </c>
      <c r="E16" s="15">
        <v>5.5999999999999988</v>
      </c>
    </row>
    <row r="19" spans="1:7" ht="13.5" thickBot="1" x14ac:dyDescent="0.25">
      <c r="A19" t="s">
        <v>55</v>
      </c>
    </row>
    <row r="20" spans="1:7" ht="13.5" thickBot="1" x14ac:dyDescent="0.25">
      <c r="B20" s="13" t="s">
        <v>51</v>
      </c>
      <c r="C20" s="13" t="s">
        <v>52</v>
      </c>
      <c r="D20" s="13" t="s">
        <v>53</v>
      </c>
      <c r="E20" s="13" t="s">
        <v>54</v>
      </c>
      <c r="F20" s="13" t="s">
        <v>56</v>
      </c>
    </row>
    <row r="21" spans="1:7" x14ac:dyDescent="0.2">
      <c r="B21" s="14" t="s">
        <v>64</v>
      </c>
      <c r="C21" s="14"/>
      <c r="D21" s="16">
        <v>0</v>
      </c>
      <c r="E21" s="16">
        <v>0.79999999999999982</v>
      </c>
      <c r="F21" s="14" t="s">
        <v>65</v>
      </c>
    </row>
    <row r="22" spans="1:7" x14ac:dyDescent="0.2">
      <c r="B22" s="14" t="s">
        <v>66</v>
      </c>
      <c r="C22" s="14"/>
      <c r="D22" s="16">
        <v>0.46666666666666673</v>
      </c>
      <c r="E22" s="16">
        <v>0</v>
      </c>
      <c r="F22" s="14" t="s">
        <v>65</v>
      </c>
    </row>
    <row r="23" spans="1:7" ht="13.5" thickBot="1" x14ac:dyDescent="0.25">
      <c r="B23" s="12" t="s">
        <v>67</v>
      </c>
      <c r="C23" s="12"/>
      <c r="D23" s="15">
        <v>0.2</v>
      </c>
      <c r="E23" s="15">
        <v>0.2</v>
      </c>
      <c r="F23" s="12" t="s">
        <v>65</v>
      </c>
    </row>
    <row r="26" spans="1:7" ht="13.5" thickBot="1" x14ac:dyDescent="0.25">
      <c r="A26" t="s">
        <v>57</v>
      </c>
    </row>
    <row r="27" spans="1:7" ht="13.5" thickBot="1" x14ac:dyDescent="0.25">
      <c r="B27" s="13" t="s">
        <v>51</v>
      </c>
      <c r="C27" s="13" t="s">
        <v>52</v>
      </c>
      <c r="D27" s="13" t="s">
        <v>58</v>
      </c>
      <c r="E27" s="13" t="s">
        <v>59</v>
      </c>
      <c r="F27" s="13" t="s">
        <v>60</v>
      </c>
      <c r="G27" s="13" t="s">
        <v>61</v>
      </c>
    </row>
    <row r="28" spans="1:7" x14ac:dyDescent="0.2">
      <c r="B28" s="14" t="s">
        <v>68</v>
      </c>
      <c r="C28" s="14" t="s">
        <v>69</v>
      </c>
      <c r="D28" s="16">
        <v>260</v>
      </c>
      <c r="E28" s="14" t="s">
        <v>70</v>
      </c>
      <c r="F28" s="14" t="s">
        <v>71</v>
      </c>
      <c r="G28" s="14">
        <v>0</v>
      </c>
    </row>
    <row r="29" spans="1:7" x14ac:dyDescent="0.2">
      <c r="B29" s="14" t="s">
        <v>72</v>
      </c>
      <c r="C29" s="14" t="s">
        <v>73</v>
      </c>
      <c r="D29" s="16">
        <v>0.2</v>
      </c>
      <c r="E29" s="14" t="s">
        <v>74</v>
      </c>
      <c r="F29" s="14" t="s">
        <v>71</v>
      </c>
      <c r="G29" s="16">
        <v>0</v>
      </c>
    </row>
    <row r="30" spans="1:7" ht="13.5" thickBot="1" x14ac:dyDescent="0.25">
      <c r="B30" s="12" t="s">
        <v>75</v>
      </c>
      <c r="C30" s="12" t="s">
        <v>76</v>
      </c>
      <c r="D30" s="15">
        <v>0.99999999999999978</v>
      </c>
      <c r="E30" s="12" t="s">
        <v>77</v>
      </c>
      <c r="F30" s="12" t="s">
        <v>71</v>
      </c>
      <c r="G30" s="12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6BD3-4F77-4509-ABDC-DE89347CFC14}">
  <dimension ref="A1:H18"/>
  <sheetViews>
    <sheetView showGridLines="0" workbookViewId="0">
      <selection activeCell="K24" sqref="K24"/>
    </sheetView>
  </sheetViews>
  <sheetFormatPr defaultRowHeight="12.75" x14ac:dyDescent="0.2"/>
  <cols>
    <col min="1" max="1" width="2.28515625" customWidth="1"/>
    <col min="2" max="2" width="6.28515625" bestFit="1" customWidth="1"/>
    <col min="3" max="3" width="12.85546875" bestFit="1" customWidth="1"/>
    <col min="4" max="4" width="6.28515625" bestFit="1" customWidth="1"/>
    <col min="5" max="5" width="9" bestFit="1" customWidth="1"/>
    <col min="6" max="6" width="10.7109375" bestFit="1" customWidth="1"/>
    <col min="7" max="8" width="12.42578125" bestFit="1" customWidth="1"/>
  </cols>
  <sheetData>
    <row r="1" spans="1:8" x14ac:dyDescent="0.2">
      <c r="A1" s="7" t="s">
        <v>79</v>
      </c>
    </row>
    <row r="2" spans="1:8" x14ac:dyDescent="0.2">
      <c r="A2" s="7" t="s">
        <v>40</v>
      </c>
    </row>
    <row r="3" spans="1:8" x14ac:dyDescent="0.2">
      <c r="A3" s="7" t="s">
        <v>106</v>
      </c>
    </row>
    <row r="6" spans="1:8" ht="13.5" thickBot="1" x14ac:dyDescent="0.25">
      <c r="A6" t="s">
        <v>55</v>
      </c>
    </row>
    <row r="7" spans="1:8" x14ac:dyDescent="0.2">
      <c r="B7" s="17"/>
      <c r="C7" s="17"/>
      <c r="D7" s="17" t="s">
        <v>81</v>
      </c>
      <c r="E7" s="17" t="s">
        <v>83</v>
      </c>
      <c r="F7" s="17" t="s">
        <v>85</v>
      </c>
      <c r="G7" s="17" t="s">
        <v>87</v>
      </c>
      <c r="H7" s="17" t="s">
        <v>87</v>
      </c>
    </row>
    <row r="8" spans="1:8" ht="13.5" thickBot="1" x14ac:dyDescent="0.25">
      <c r="B8" s="18" t="s">
        <v>51</v>
      </c>
      <c r="C8" s="18" t="s">
        <v>52</v>
      </c>
      <c r="D8" s="18" t="s">
        <v>82</v>
      </c>
      <c r="E8" s="18" t="s">
        <v>84</v>
      </c>
      <c r="F8" s="18" t="s">
        <v>86</v>
      </c>
      <c r="G8" s="18" t="s">
        <v>88</v>
      </c>
      <c r="H8" s="18" t="s">
        <v>89</v>
      </c>
    </row>
    <row r="9" spans="1:8" x14ac:dyDescent="0.2">
      <c r="B9" s="14" t="s">
        <v>64</v>
      </c>
      <c r="C9" s="14"/>
      <c r="D9" s="14">
        <v>0.79999999999999982</v>
      </c>
      <c r="E9" s="14">
        <v>0</v>
      </c>
      <c r="F9" s="14">
        <v>6</v>
      </c>
      <c r="G9" s="14">
        <v>1E+30</v>
      </c>
      <c r="H9" s="14">
        <v>1.3333333333333335</v>
      </c>
    </row>
    <row r="10" spans="1:8" x14ac:dyDescent="0.2">
      <c r="B10" s="14" t="s">
        <v>66</v>
      </c>
      <c r="C10" s="14"/>
      <c r="D10" s="14">
        <v>0</v>
      </c>
      <c r="E10" s="14">
        <v>-2</v>
      </c>
      <c r="F10" s="14">
        <v>7</v>
      </c>
      <c r="G10" s="14">
        <v>2</v>
      </c>
      <c r="H10" s="14">
        <v>1E+30</v>
      </c>
    </row>
    <row r="11" spans="1:8" ht="13.5" thickBot="1" x14ac:dyDescent="0.25">
      <c r="B11" s="12" t="s">
        <v>67</v>
      </c>
      <c r="C11" s="12"/>
      <c r="D11" s="12">
        <v>0.2</v>
      </c>
      <c r="E11" s="12">
        <v>0</v>
      </c>
      <c r="F11" s="12">
        <v>4</v>
      </c>
      <c r="G11" s="12">
        <v>11</v>
      </c>
      <c r="H11" s="12">
        <v>1E+30</v>
      </c>
    </row>
    <row r="13" spans="1:8" ht="13.5" thickBot="1" x14ac:dyDescent="0.25">
      <c r="A13" t="s">
        <v>57</v>
      </c>
    </row>
    <row r="14" spans="1:8" x14ac:dyDescent="0.2">
      <c r="B14" s="17"/>
      <c r="C14" s="17"/>
      <c r="D14" s="17" t="s">
        <v>81</v>
      </c>
      <c r="E14" s="17" t="s">
        <v>90</v>
      </c>
      <c r="F14" s="17" t="s">
        <v>92</v>
      </c>
      <c r="G14" s="17" t="s">
        <v>87</v>
      </c>
      <c r="H14" s="17" t="s">
        <v>87</v>
      </c>
    </row>
    <row r="15" spans="1:8" ht="13.5" thickBot="1" x14ac:dyDescent="0.25">
      <c r="B15" s="18" t="s">
        <v>51</v>
      </c>
      <c r="C15" s="18" t="s">
        <v>52</v>
      </c>
      <c r="D15" s="18" t="s">
        <v>82</v>
      </c>
      <c r="E15" s="18" t="s">
        <v>91</v>
      </c>
      <c r="F15" s="18" t="s">
        <v>93</v>
      </c>
      <c r="G15" s="18" t="s">
        <v>88</v>
      </c>
      <c r="H15" s="18" t="s">
        <v>89</v>
      </c>
    </row>
    <row r="16" spans="1:8" x14ac:dyDescent="0.2">
      <c r="B16" s="14" t="s">
        <v>68</v>
      </c>
      <c r="C16" s="14" t="s">
        <v>69</v>
      </c>
      <c r="D16" s="14">
        <v>260</v>
      </c>
      <c r="E16" s="14">
        <v>0.03</v>
      </c>
      <c r="F16" s="14">
        <v>260</v>
      </c>
      <c r="G16" s="14">
        <v>3.3306690738754703E-14</v>
      </c>
      <c r="H16" s="14">
        <v>160</v>
      </c>
    </row>
    <row r="17" spans="2:8" x14ac:dyDescent="0.2">
      <c r="B17" s="14" t="s">
        <v>72</v>
      </c>
      <c r="C17" s="14" t="s">
        <v>73</v>
      </c>
      <c r="D17" s="14">
        <v>0.2</v>
      </c>
      <c r="E17" s="14">
        <v>-11</v>
      </c>
      <c r="F17" s="14">
        <v>0.2</v>
      </c>
      <c r="G17" s="14">
        <v>0.32</v>
      </c>
      <c r="H17" s="14">
        <v>1.1102230246251568E-16</v>
      </c>
    </row>
    <row r="18" spans="2:8" ht="13.5" thickBot="1" x14ac:dyDescent="0.25">
      <c r="B18" s="12" t="s">
        <v>75</v>
      </c>
      <c r="C18" s="12" t="s">
        <v>76</v>
      </c>
      <c r="D18" s="12">
        <v>0.99999999999999978</v>
      </c>
      <c r="E18" s="12">
        <v>0</v>
      </c>
      <c r="F18" s="12">
        <v>1</v>
      </c>
      <c r="G18" s="12">
        <v>1E+30</v>
      </c>
      <c r="H18" s="12">
        <v>1.6653345369377348E-16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CADE-234E-4F70-9729-2CB476054580}">
  <dimension ref="A1:G30"/>
  <sheetViews>
    <sheetView showGridLines="0" workbookViewId="0">
      <selection activeCell="I21" sqref="I21"/>
    </sheetView>
  </sheetViews>
  <sheetFormatPr defaultRowHeight="12.75" x14ac:dyDescent="0.2"/>
  <cols>
    <col min="1" max="1" width="2.28515625" customWidth="1"/>
    <col min="2" max="2" width="6.140625" bestFit="1" customWidth="1"/>
    <col min="3" max="3" width="12.85546875" bestFit="1" customWidth="1"/>
    <col min="4" max="4" width="14.28515625" bestFit="1" customWidth="1"/>
    <col min="5" max="5" width="14" bestFit="1" customWidth="1"/>
    <col min="6" max="6" width="10.5703125" bestFit="1" customWidth="1"/>
    <col min="7" max="7" width="12" bestFit="1" customWidth="1"/>
  </cols>
  <sheetData>
    <row r="1" spans="1:5" x14ac:dyDescent="0.2">
      <c r="A1" s="7" t="s">
        <v>39</v>
      </c>
    </row>
    <row r="2" spans="1:5" x14ac:dyDescent="0.2">
      <c r="A2" s="7" t="s">
        <v>40</v>
      </c>
    </row>
    <row r="3" spans="1:5" x14ac:dyDescent="0.2">
      <c r="A3" s="7" t="s">
        <v>102</v>
      </c>
    </row>
    <row r="4" spans="1:5" x14ac:dyDescent="0.2">
      <c r="A4" s="7" t="s">
        <v>42</v>
      </c>
    </row>
    <row r="5" spans="1:5" x14ac:dyDescent="0.2">
      <c r="A5" s="7" t="s">
        <v>43</v>
      </c>
    </row>
    <row r="6" spans="1:5" x14ac:dyDescent="0.2">
      <c r="A6" s="7"/>
      <c r="B6" t="s">
        <v>44</v>
      </c>
    </row>
    <row r="7" spans="1:5" x14ac:dyDescent="0.2">
      <c r="A7" s="7"/>
      <c r="B7" t="s">
        <v>99</v>
      </c>
    </row>
    <row r="8" spans="1:5" x14ac:dyDescent="0.2">
      <c r="A8" s="7"/>
      <c r="B8" t="s">
        <v>103</v>
      </c>
    </row>
    <row r="9" spans="1:5" x14ac:dyDescent="0.2">
      <c r="A9" s="7" t="s">
        <v>47</v>
      </c>
    </row>
    <row r="10" spans="1:5" x14ac:dyDescent="0.2">
      <c r="B10" t="s">
        <v>100</v>
      </c>
    </row>
    <row r="11" spans="1:5" x14ac:dyDescent="0.2">
      <c r="B11" t="s">
        <v>49</v>
      </c>
    </row>
    <row r="14" spans="1:5" ht="13.5" thickBot="1" x14ac:dyDescent="0.25">
      <c r="A14" t="s">
        <v>50</v>
      </c>
    </row>
    <row r="15" spans="1:5" ht="13.5" thickBot="1" x14ac:dyDescent="0.25">
      <c r="B15" s="13" t="s">
        <v>51</v>
      </c>
      <c r="C15" s="13" t="s">
        <v>52</v>
      </c>
      <c r="D15" s="13" t="s">
        <v>53</v>
      </c>
      <c r="E15" s="13" t="s">
        <v>54</v>
      </c>
    </row>
    <row r="16" spans="1:5" ht="13.5" thickBot="1" x14ac:dyDescent="0.25">
      <c r="B16" s="12" t="s">
        <v>62</v>
      </c>
      <c r="C16" s="12" t="s">
        <v>63</v>
      </c>
      <c r="D16" s="15">
        <v>3.9999999999999991</v>
      </c>
      <c r="E16" s="15">
        <v>4.0666666666666673</v>
      </c>
    </row>
    <row r="19" spans="1:7" ht="13.5" thickBot="1" x14ac:dyDescent="0.25">
      <c r="A19" t="s">
        <v>55</v>
      </c>
    </row>
    <row r="20" spans="1:7" ht="13.5" thickBot="1" x14ac:dyDescent="0.25">
      <c r="B20" s="13" t="s">
        <v>51</v>
      </c>
      <c r="C20" s="13" t="s">
        <v>52</v>
      </c>
      <c r="D20" s="13" t="s">
        <v>53</v>
      </c>
      <c r="E20" s="13" t="s">
        <v>54</v>
      </c>
      <c r="F20" s="13" t="s">
        <v>56</v>
      </c>
    </row>
    <row r="21" spans="1:7" x14ac:dyDescent="0.2">
      <c r="B21" s="14" t="s">
        <v>64</v>
      </c>
      <c r="C21" s="14"/>
      <c r="D21" s="16">
        <v>0.79999999999999982</v>
      </c>
      <c r="E21" s="16">
        <v>0</v>
      </c>
      <c r="F21" s="14" t="s">
        <v>65</v>
      </c>
    </row>
    <row r="22" spans="1:7" x14ac:dyDescent="0.2">
      <c r="B22" s="14" t="s">
        <v>66</v>
      </c>
      <c r="C22" s="14"/>
      <c r="D22" s="16">
        <v>0</v>
      </c>
      <c r="E22" s="16">
        <v>0.46666666666666673</v>
      </c>
      <c r="F22" s="14" t="s">
        <v>65</v>
      </c>
    </row>
    <row r="23" spans="1:7" ht="13.5" thickBot="1" x14ac:dyDescent="0.25">
      <c r="B23" s="12" t="s">
        <v>67</v>
      </c>
      <c r="C23" s="12"/>
      <c r="D23" s="15">
        <v>0.2</v>
      </c>
      <c r="E23" s="15">
        <v>0.2</v>
      </c>
      <c r="F23" s="12" t="s">
        <v>65</v>
      </c>
    </row>
    <row r="26" spans="1:7" ht="13.5" thickBot="1" x14ac:dyDescent="0.25">
      <c r="A26" t="s">
        <v>57</v>
      </c>
    </row>
    <row r="27" spans="1:7" ht="13.5" thickBot="1" x14ac:dyDescent="0.25">
      <c r="B27" s="13" t="s">
        <v>51</v>
      </c>
      <c r="C27" s="13" t="s">
        <v>52</v>
      </c>
      <c r="D27" s="13" t="s">
        <v>58</v>
      </c>
      <c r="E27" s="13" t="s">
        <v>59</v>
      </c>
      <c r="F27" s="13" t="s">
        <v>60</v>
      </c>
      <c r="G27" s="13" t="s">
        <v>61</v>
      </c>
    </row>
    <row r="28" spans="1:7" x14ac:dyDescent="0.2">
      <c r="B28" s="14" t="s">
        <v>68</v>
      </c>
      <c r="C28" s="14" t="s">
        <v>69</v>
      </c>
      <c r="D28" s="16">
        <v>240.00000000000003</v>
      </c>
      <c r="E28" s="14" t="s">
        <v>70</v>
      </c>
      <c r="F28" s="14" t="s">
        <v>71</v>
      </c>
      <c r="G28" s="14">
        <v>0</v>
      </c>
    </row>
    <row r="29" spans="1:7" x14ac:dyDescent="0.2">
      <c r="B29" s="14" t="s">
        <v>72</v>
      </c>
      <c r="C29" s="14" t="s">
        <v>73</v>
      </c>
      <c r="D29" s="16">
        <v>0.2</v>
      </c>
      <c r="E29" s="14" t="s">
        <v>74</v>
      </c>
      <c r="F29" s="14" t="s">
        <v>71</v>
      </c>
      <c r="G29" s="16">
        <v>0</v>
      </c>
    </row>
    <row r="30" spans="1:7" ht="13.5" thickBot="1" x14ac:dyDescent="0.25">
      <c r="B30" s="12" t="s">
        <v>75</v>
      </c>
      <c r="C30" s="12" t="s">
        <v>76</v>
      </c>
      <c r="D30" s="15">
        <v>0.66666666666666674</v>
      </c>
      <c r="E30" s="12" t="s">
        <v>77</v>
      </c>
      <c r="F30" s="12" t="s">
        <v>78</v>
      </c>
      <c r="G30" s="12">
        <v>0.33333333333333326</v>
      </c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89DF-0391-4496-8250-FA875118834C}">
  <dimension ref="A1:H18"/>
  <sheetViews>
    <sheetView showGridLines="0" workbookViewId="0"/>
  </sheetViews>
  <sheetFormatPr defaultRowHeight="12.75" x14ac:dyDescent="0.2"/>
  <cols>
    <col min="1" max="1" width="2.28515625" customWidth="1"/>
    <col min="2" max="2" width="6.28515625" bestFit="1" customWidth="1"/>
    <col min="3" max="3" width="12.85546875" bestFit="1" customWidth="1"/>
    <col min="4" max="4" width="12" bestFit="1" customWidth="1"/>
    <col min="5" max="5" width="12.5703125" bestFit="1" customWidth="1"/>
    <col min="6" max="6" width="10.7109375" bestFit="1" customWidth="1"/>
    <col min="7" max="8" width="12" bestFit="1" customWidth="1"/>
  </cols>
  <sheetData>
    <row r="1" spans="1:8" x14ac:dyDescent="0.2">
      <c r="A1" s="7" t="s">
        <v>79</v>
      </c>
    </row>
    <row r="2" spans="1:8" x14ac:dyDescent="0.2">
      <c r="A2" s="7" t="s">
        <v>40</v>
      </c>
    </row>
    <row r="3" spans="1:8" x14ac:dyDescent="0.2">
      <c r="A3" s="7" t="s">
        <v>104</v>
      </c>
    </row>
    <row r="6" spans="1:8" ht="13.5" thickBot="1" x14ac:dyDescent="0.25">
      <c r="A6" t="s">
        <v>55</v>
      </c>
    </row>
    <row r="7" spans="1:8" x14ac:dyDescent="0.2">
      <c r="B7" s="17"/>
      <c r="C7" s="17"/>
      <c r="D7" s="17" t="s">
        <v>81</v>
      </c>
      <c r="E7" s="17" t="s">
        <v>83</v>
      </c>
      <c r="F7" s="17" t="s">
        <v>85</v>
      </c>
      <c r="G7" s="17" t="s">
        <v>87</v>
      </c>
      <c r="H7" s="17" t="s">
        <v>87</v>
      </c>
    </row>
    <row r="8" spans="1:8" ht="13.5" thickBot="1" x14ac:dyDescent="0.25">
      <c r="B8" s="18" t="s">
        <v>51</v>
      </c>
      <c r="C8" s="18" t="s">
        <v>52</v>
      </c>
      <c r="D8" s="18" t="s">
        <v>82</v>
      </c>
      <c r="E8" s="18" t="s">
        <v>84</v>
      </c>
      <c r="F8" s="18" t="s">
        <v>86</v>
      </c>
      <c r="G8" s="18" t="s">
        <v>88</v>
      </c>
      <c r="H8" s="18" t="s">
        <v>89</v>
      </c>
    </row>
    <row r="9" spans="1:8" x14ac:dyDescent="0.2">
      <c r="B9" s="14" t="s">
        <v>64</v>
      </c>
      <c r="C9" s="14"/>
      <c r="D9" s="14">
        <v>0</v>
      </c>
      <c r="E9" s="14">
        <v>-0.66666666666666696</v>
      </c>
      <c r="F9" s="14">
        <v>4</v>
      </c>
      <c r="G9" s="14">
        <v>0.66666666666666696</v>
      </c>
      <c r="H9" s="14">
        <v>1E+30</v>
      </c>
    </row>
    <row r="10" spans="1:8" x14ac:dyDescent="0.2">
      <c r="B10" s="14" t="s">
        <v>66</v>
      </c>
      <c r="C10" s="14"/>
      <c r="D10" s="14">
        <v>0.46666666666666673</v>
      </c>
      <c r="E10" s="14">
        <v>0</v>
      </c>
      <c r="F10" s="14">
        <v>7</v>
      </c>
      <c r="G10" s="14">
        <v>1E+30</v>
      </c>
      <c r="H10" s="14">
        <v>1.0000000000000002</v>
      </c>
    </row>
    <row r="11" spans="1:8" ht="13.5" thickBot="1" x14ac:dyDescent="0.25">
      <c r="B11" s="12" t="s">
        <v>67</v>
      </c>
      <c r="C11" s="12"/>
      <c r="D11" s="12">
        <v>0.2</v>
      </c>
      <c r="E11" s="12">
        <v>0</v>
      </c>
      <c r="F11" s="12">
        <v>4</v>
      </c>
      <c r="G11" s="12">
        <v>7.6666666666666661</v>
      </c>
      <c r="H11" s="12">
        <v>1E+30</v>
      </c>
    </row>
    <row r="13" spans="1:8" ht="13.5" thickBot="1" x14ac:dyDescent="0.25">
      <c r="A13" t="s">
        <v>57</v>
      </c>
    </row>
    <row r="14" spans="1:8" x14ac:dyDescent="0.2">
      <c r="B14" s="17"/>
      <c r="C14" s="17"/>
      <c r="D14" s="17" t="s">
        <v>81</v>
      </c>
      <c r="E14" s="17" t="s">
        <v>90</v>
      </c>
      <c r="F14" s="17" t="s">
        <v>92</v>
      </c>
      <c r="G14" s="17" t="s">
        <v>87</v>
      </c>
      <c r="H14" s="17" t="s">
        <v>87</v>
      </c>
    </row>
    <row r="15" spans="1:8" ht="13.5" thickBot="1" x14ac:dyDescent="0.25">
      <c r="B15" s="18" t="s">
        <v>51</v>
      </c>
      <c r="C15" s="18" t="s">
        <v>52</v>
      </c>
      <c r="D15" s="18" t="s">
        <v>82</v>
      </c>
      <c r="E15" s="18" t="s">
        <v>91</v>
      </c>
      <c r="F15" s="18" t="s">
        <v>93</v>
      </c>
      <c r="G15" s="18" t="s">
        <v>88</v>
      </c>
      <c r="H15" s="18" t="s">
        <v>89</v>
      </c>
    </row>
    <row r="16" spans="1:8" x14ac:dyDescent="0.2">
      <c r="B16" s="14" t="s">
        <v>68</v>
      </c>
      <c r="C16" s="14" t="s">
        <v>69</v>
      </c>
      <c r="D16" s="14">
        <v>240.00000000000003</v>
      </c>
      <c r="E16" s="14">
        <v>2.3333333333333331E-2</v>
      </c>
      <c r="F16" s="14">
        <v>240</v>
      </c>
      <c r="G16" s="14">
        <v>99.999999999999986</v>
      </c>
      <c r="H16" s="14">
        <v>140</v>
      </c>
    </row>
    <row r="17" spans="2:8" x14ac:dyDescent="0.2">
      <c r="B17" s="14" t="s">
        <v>72</v>
      </c>
      <c r="C17" s="14" t="s">
        <v>73</v>
      </c>
      <c r="D17" s="14">
        <v>0.2</v>
      </c>
      <c r="E17" s="14">
        <v>-7.6666666666666661</v>
      </c>
      <c r="F17" s="14">
        <v>0.2</v>
      </c>
      <c r="G17" s="14">
        <v>0.28000000000000003</v>
      </c>
      <c r="H17" s="14">
        <v>0.2</v>
      </c>
    </row>
    <row r="18" spans="2:8" ht="13.5" thickBot="1" x14ac:dyDescent="0.25">
      <c r="B18" s="12" t="s">
        <v>75</v>
      </c>
      <c r="C18" s="12" t="s">
        <v>76</v>
      </c>
      <c r="D18" s="12">
        <v>0.66666666666666674</v>
      </c>
      <c r="E18" s="12">
        <v>0</v>
      </c>
      <c r="F18" s="12">
        <v>1</v>
      </c>
      <c r="G18" s="12">
        <v>1E+30</v>
      </c>
      <c r="H18" s="12"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task1</vt:lpstr>
      <vt:lpstr>task2</vt:lpstr>
      <vt:lpstr>Answer Report 1</vt:lpstr>
      <vt:lpstr>Sensitivity Report 1</vt:lpstr>
      <vt:lpstr>Task2_2and3</vt:lpstr>
      <vt:lpstr>Answer Report RHS260</vt:lpstr>
      <vt:lpstr>Sensitivity Report RHS260</vt:lpstr>
      <vt:lpstr>Answer Report for price 4</vt:lpstr>
      <vt:lpstr>Sensitivity Report for price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</dc:creator>
  <cp:lastModifiedBy>Uživatel systému Windows</cp:lastModifiedBy>
  <dcterms:created xsi:type="dcterms:W3CDTF">2014-03-31T09:22:19Z</dcterms:created>
  <dcterms:modified xsi:type="dcterms:W3CDTF">2023-02-23T13:08:55Z</dcterms:modified>
</cp:coreProperties>
</file>